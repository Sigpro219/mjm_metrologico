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GESTIÓN PROYECTOS\SOFTWARE ASEGURAMIENTO\"/>
    </mc:Choice>
  </mc:AlternateContent>
  <xr:revisionPtr revIDLastSave="0" documentId="8_{F5C5B9EF-997F-4177-BA03-F18D239E12C6}" xr6:coauthVersionLast="47" xr6:coauthVersionMax="47" xr10:uidLastSave="{00000000-0000-0000-0000-000000000000}"/>
  <bookViews>
    <workbookView xWindow="28680" yWindow="-120" windowWidth="29040" windowHeight="15720" xr2:uid="{62FD7970-C0A1-4238-AB17-C3905A9DEE22}"/>
  </bookViews>
  <sheets>
    <sheet name="INVENTARIO" sheetId="1" r:id="rId1"/>
    <sheet name="CRITICID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I38" i="2"/>
  <c r="J38" i="2" s="1"/>
  <c r="F38" i="2"/>
  <c r="I37" i="2"/>
  <c r="J37" i="2" s="1"/>
  <c r="F37" i="2"/>
  <c r="J36" i="2"/>
  <c r="I36" i="2"/>
  <c r="F36" i="2"/>
  <c r="I35" i="2"/>
  <c r="J35" i="2" s="1"/>
  <c r="F35" i="2"/>
  <c r="I34" i="2"/>
  <c r="J34" i="2" s="1"/>
  <c r="F34" i="2"/>
  <c r="J33" i="2"/>
  <c r="I33" i="2"/>
  <c r="F33" i="2"/>
  <c r="I32" i="2"/>
  <c r="J32" i="2" s="1"/>
  <c r="F32" i="2"/>
  <c r="J31" i="2"/>
  <c r="I31" i="2"/>
  <c r="F31" i="2"/>
  <c r="I30" i="2"/>
  <c r="J30" i="2" s="1"/>
  <c r="F30" i="2"/>
  <c r="I29" i="2"/>
  <c r="J29" i="2" s="1"/>
  <c r="F29" i="2"/>
  <c r="I28" i="2"/>
  <c r="J28" i="2" s="1"/>
  <c r="F28" i="2"/>
  <c r="J27" i="2"/>
  <c r="I27" i="2"/>
  <c r="F27" i="2"/>
  <c r="I26" i="2"/>
  <c r="J26" i="2" s="1"/>
  <c r="F26" i="2"/>
  <c r="I25" i="2"/>
  <c r="J25" i="2" s="1"/>
  <c r="F25" i="2"/>
  <c r="J24" i="2"/>
  <c r="I24" i="2"/>
  <c r="F24" i="2"/>
  <c r="I23" i="2"/>
  <c r="J23" i="2" s="1"/>
  <c r="F23" i="2"/>
  <c r="I22" i="2"/>
  <c r="J22" i="2" s="1"/>
  <c r="F22" i="2"/>
  <c r="J21" i="2"/>
  <c r="I21" i="2"/>
  <c r="F21" i="2"/>
  <c r="I20" i="2"/>
  <c r="J20" i="2" s="1"/>
  <c r="F20" i="2"/>
  <c r="J19" i="2"/>
  <c r="I19" i="2"/>
  <c r="F19" i="2"/>
  <c r="I18" i="2"/>
  <c r="J18" i="2" s="1"/>
  <c r="F18" i="2"/>
  <c r="I17" i="2"/>
  <c r="J17" i="2" s="1"/>
  <c r="F17" i="2"/>
  <c r="I16" i="2"/>
  <c r="J16" i="2" s="1"/>
  <c r="F16" i="2"/>
  <c r="J15" i="2"/>
  <c r="I15" i="2"/>
  <c r="F15" i="2"/>
  <c r="I14" i="2"/>
  <c r="J14" i="2" s="1"/>
  <c r="F14" i="2"/>
  <c r="I13" i="2"/>
  <c r="J13" i="2" s="1"/>
  <c r="F13" i="2"/>
  <c r="J12" i="2"/>
  <c r="I12" i="2"/>
  <c r="F12" i="2"/>
  <c r="I11" i="2"/>
  <c r="J11" i="2" s="1"/>
  <c r="F11" i="2"/>
  <c r="I10" i="2"/>
  <c r="J10" i="2" s="1"/>
  <c r="F10" i="2"/>
  <c r="J9" i="2"/>
  <c r="I9" i="2"/>
  <c r="F9" i="2"/>
  <c r="I8" i="2"/>
  <c r="J8" i="2" s="1"/>
  <c r="F8" i="2"/>
  <c r="J7" i="2"/>
  <c r="I7" i="2"/>
  <c r="F7" i="2"/>
  <c r="I6" i="2"/>
  <c r="J6" i="2" s="1"/>
  <c r="F6" i="2"/>
  <c r="I5" i="2"/>
  <c r="J5" i="2" s="1"/>
  <c r="F5" i="2"/>
  <c r="I4" i="2"/>
  <c r="J4" i="2" s="1"/>
  <c r="F4" i="2"/>
  <c r="J3" i="2"/>
  <c r="I3" i="2"/>
  <c r="F3" i="2"/>
  <c r="I2" i="2"/>
  <c r="J2" i="2" s="1"/>
  <c r="F2" i="2"/>
  <c r="G2" i="2" s="1"/>
  <c r="D33" i="1" l="1"/>
  <c r="D33" i="1" a="1"/>
  <c r="B33" i="1"/>
  <c r="V33" i="1"/>
  <c r="V33" i="1" a="1"/>
  <c r="P33" i="1"/>
  <c r="P33" i="1" a="1"/>
  <c r="L33" i="1"/>
  <c r="L33" i="1" a="1"/>
  <c r="X33" i="1"/>
  <c r="X33" i="1" a="1"/>
  <c r="J33" i="1"/>
  <c r="J33" i="1" a="1"/>
  <c r="Z33" i="1"/>
  <c r="Z33" i="1" a="1"/>
  <c r="C33" i="1"/>
  <c r="C33" i="1" a="1"/>
  <c r="R33" i="1"/>
  <c r="R33" i="1" a="1"/>
  <c r="I33" i="1"/>
  <c r="I33" i="1" a="1"/>
  <c r="N33" i="1"/>
  <c r="N33" i="1" a="1"/>
  <c r="E33" i="1"/>
  <c r="E33" i="1" a="1"/>
  <c r="K33" i="1"/>
  <c r="K33" i="1" a="1"/>
  <c r="AB33" i="1"/>
  <c r="AB33" i="1" a="1"/>
  <c r="T33" i="1"/>
  <c r="T33" i="1" a="1"/>
  <c r="H33" i="1"/>
  <c r="B33" i="1" a="1"/>
  <c r="H33" i="1" a="1"/>
  <c r="N24" i="1"/>
  <c r="N24" i="1" a="1"/>
  <c r="D24" i="1"/>
  <c r="D24" i="1" a="1"/>
  <c r="X24" i="1"/>
  <c r="X24" i="1" a="1"/>
  <c r="H24" i="1"/>
  <c r="H24" i="1" a="1"/>
  <c r="Z24" i="1"/>
  <c r="Z24" i="1" a="1"/>
  <c r="AB24" i="1"/>
  <c r="AB24" i="1" a="1"/>
  <c r="I24" i="1"/>
  <c r="I24" i="1" a="1"/>
  <c r="C24" i="1"/>
  <c r="C24" i="1" a="1"/>
  <c r="V24" i="1"/>
  <c r="V24" i="1" a="1"/>
  <c r="K24" i="1"/>
  <c r="K24" i="1" a="1"/>
  <c r="B24" i="1"/>
  <c r="P24" i="1"/>
  <c r="P24" i="1" a="1"/>
  <c r="J24" i="1"/>
  <c r="J24" i="1" a="1"/>
  <c r="E24" i="1"/>
  <c r="E24" i="1" a="1"/>
  <c r="T24" i="1"/>
  <c r="T24" i="1" a="1"/>
  <c r="R24" i="1"/>
  <c r="R24" i="1" a="1"/>
  <c r="L24" i="1"/>
  <c r="B24" i="1" a="1"/>
  <c r="L24" i="1" a="1"/>
  <c r="K18" i="1"/>
  <c r="K18" i="1" a="1"/>
  <c r="B18" i="1"/>
  <c r="L18" i="1"/>
  <c r="L18" i="1" a="1"/>
  <c r="J18" i="1"/>
  <c r="J18" i="1" a="1"/>
  <c r="H18" i="1"/>
  <c r="H18" i="1" a="1"/>
  <c r="X18" i="1"/>
  <c r="X18" i="1" a="1"/>
  <c r="V18" i="1"/>
  <c r="V18" i="1" a="1"/>
  <c r="D18" i="1"/>
  <c r="D18" i="1" a="1"/>
  <c r="R18" i="1"/>
  <c r="R18" i="1" a="1"/>
  <c r="E18" i="1"/>
  <c r="E18" i="1" a="1"/>
  <c r="N18" i="1"/>
  <c r="N18" i="1" a="1"/>
  <c r="P18" i="1"/>
  <c r="P18" i="1" a="1"/>
  <c r="Z18" i="1"/>
  <c r="Z18" i="1" a="1"/>
  <c r="T18" i="1"/>
  <c r="T18" i="1" a="1"/>
  <c r="AB18" i="1"/>
  <c r="AB18" i="1" a="1"/>
  <c r="C18" i="1"/>
  <c r="C18" i="1" a="1"/>
  <c r="I18" i="1"/>
  <c r="B18" i="1" a="1"/>
  <c r="I18" i="1" a="1"/>
  <c r="E3" i="1"/>
  <c r="E3" i="1" a="1"/>
  <c r="K3" i="1"/>
  <c r="K3" i="1" a="1"/>
  <c r="J3" i="1"/>
  <c r="J3" i="1" a="1"/>
  <c r="D3" i="1"/>
  <c r="D3" i="1" a="1"/>
  <c r="V3" i="1"/>
  <c r="V3" i="1" a="1"/>
  <c r="Z3" i="1"/>
  <c r="Z3" i="1" a="1"/>
  <c r="P3" i="1"/>
  <c r="P3" i="1" a="1"/>
  <c r="N3" i="1"/>
  <c r="N3" i="1" a="1"/>
  <c r="B3" i="1"/>
  <c r="T3" i="1"/>
  <c r="T3" i="1" a="1"/>
  <c r="H3" i="1"/>
  <c r="H3" i="1" a="1"/>
  <c r="L3" i="1"/>
  <c r="L3" i="1" a="1"/>
  <c r="X3" i="1"/>
  <c r="X3" i="1" a="1"/>
  <c r="AB3" i="1"/>
  <c r="AB3" i="1" a="1"/>
  <c r="R3" i="1"/>
  <c r="R3" i="1" a="1"/>
  <c r="C3" i="1"/>
  <c r="B3" i="1" a="1"/>
  <c r="C3" i="1" a="1"/>
  <c r="P30" i="1"/>
  <c r="P30" i="1" a="1"/>
  <c r="D30" i="1"/>
  <c r="D30" i="1" a="1"/>
  <c r="I30" i="1"/>
  <c r="I30" i="1" a="1"/>
  <c r="B30" i="1"/>
  <c r="K30" i="1"/>
  <c r="K30" i="1" a="1"/>
  <c r="AB30" i="1"/>
  <c r="AB30" i="1" a="1"/>
  <c r="R30" i="1"/>
  <c r="R30" i="1" a="1"/>
  <c r="N30" i="1"/>
  <c r="N30" i="1" a="1"/>
  <c r="L30" i="1"/>
  <c r="L30" i="1" a="1"/>
  <c r="X30" i="1"/>
  <c r="X30" i="1" a="1"/>
  <c r="C30" i="1"/>
  <c r="C30" i="1" a="1"/>
  <c r="J30" i="1"/>
  <c r="J30" i="1" a="1"/>
  <c r="H30" i="1"/>
  <c r="H30" i="1" a="1"/>
  <c r="V30" i="1"/>
  <c r="V30" i="1" a="1"/>
  <c r="Z30" i="1"/>
  <c r="Z30" i="1" a="1"/>
  <c r="E30" i="1"/>
  <c r="E30" i="1" a="1"/>
  <c r="T30" i="1"/>
  <c r="B30" i="1" a="1"/>
  <c r="T30" i="1" a="1"/>
  <c r="T37" i="1"/>
  <c r="T37" i="1" a="1"/>
  <c r="X37" i="1"/>
  <c r="X37" i="1" a="1"/>
  <c r="P37" i="1"/>
  <c r="P37" i="1" a="1"/>
  <c r="V37" i="1"/>
  <c r="V37" i="1" a="1"/>
  <c r="H37" i="1"/>
  <c r="H37" i="1" a="1"/>
  <c r="B37" i="1"/>
  <c r="L37" i="1"/>
  <c r="L37" i="1" a="1"/>
  <c r="E37" i="1"/>
  <c r="E37" i="1" a="1"/>
  <c r="K37" i="1"/>
  <c r="K37" i="1" a="1"/>
  <c r="I37" i="1"/>
  <c r="I37" i="1" a="1"/>
  <c r="D37" i="1"/>
  <c r="D37" i="1" a="1"/>
  <c r="AB37" i="1"/>
  <c r="AB37" i="1" a="1"/>
  <c r="C37" i="1"/>
  <c r="C37" i="1" a="1"/>
  <c r="N37" i="1"/>
  <c r="N37" i="1" a="1"/>
  <c r="R37" i="1"/>
  <c r="R37" i="1" a="1"/>
  <c r="J37" i="1"/>
  <c r="J37" i="1" a="1"/>
  <c r="Z37" i="1"/>
  <c r="B37" i="1" a="1"/>
  <c r="Z37" i="1" a="1"/>
  <c r="R32" i="1"/>
  <c r="R32" i="1" a="1"/>
  <c r="Z32" i="1"/>
  <c r="Z32" i="1" a="1"/>
  <c r="E32" i="1"/>
  <c r="E32" i="1" a="1"/>
  <c r="N32" i="1"/>
  <c r="N32" i="1" a="1"/>
  <c r="K32" i="1"/>
  <c r="K32" i="1" a="1"/>
  <c r="AB32" i="1"/>
  <c r="AB32" i="1" a="1"/>
  <c r="L32" i="1"/>
  <c r="L32" i="1" a="1"/>
  <c r="P32" i="1"/>
  <c r="P32" i="1" a="1"/>
  <c r="J32" i="1"/>
  <c r="J32" i="1" a="1"/>
  <c r="H32" i="1"/>
  <c r="H32" i="1" a="1"/>
  <c r="I32" i="1"/>
  <c r="I32" i="1" a="1"/>
  <c r="C32" i="1"/>
  <c r="C32" i="1" a="1"/>
  <c r="T32" i="1"/>
  <c r="T32" i="1" a="1"/>
  <c r="B32" i="1"/>
  <c r="X32" i="1"/>
  <c r="X32" i="1" a="1"/>
  <c r="V32" i="1"/>
  <c r="V32" i="1" a="1"/>
  <c r="D32" i="1"/>
  <c r="B32" i="1" a="1"/>
  <c r="D32" i="1" a="1"/>
  <c r="J31" i="1"/>
  <c r="J31" i="1" a="1"/>
  <c r="H31" i="1"/>
  <c r="H31" i="1" a="1"/>
  <c r="E31" i="1"/>
  <c r="E31" i="1" a="1"/>
  <c r="AB31" i="1"/>
  <c r="AB31" i="1" a="1"/>
  <c r="I31" i="1"/>
  <c r="I31" i="1" a="1"/>
  <c r="R31" i="1"/>
  <c r="R31" i="1" a="1"/>
  <c r="D31" i="1"/>
  <c r="D31" i="1" a="1"/>
  <c r="K31" i="1"/>
  <c r="K31" i="1" a="1"/>
  <c r="C31" i="1"/>
  <c r="C31" i="1" a="1"/>
  <c r="B31" i="1"/>
  <c r="V31" i="1"/>
  <c r="V31" i="1" a="1"/>
  <c r="Z31" i="1"/>
  <c r="Z31" i="1" a="1"/>
  <c r="L31" i="1"/>
  <c r="L31" i="1" a="1"/>
  <c r="P31" i="1"/>
  <c r="P31" i="1" a="1"/>
  <c r="X31" i="1"/>
  <c r="X31" i="1" a="1"/>
  <c r="N31" i="1"/>
  <c r="N31" i="1" a="1"/>
  <c r="T31" i="1"/>
  <c r="B31" i="1" a="1"/>
  <c r="T31" i="1" a="1"/>
  <c r="I29" i="1"/>
  <c r="I29" i="1" a="1"/>
  <c r="V29" i="1"/>
  <c r="V29" i="1" a="1"/>
  <c r="D29" i="1"/>
  <c r="D29" i="1" a="1"/>
  <c r="X29" i="1"/>
  <c r="X29" i="1" a="1"/>
  <c r="C29" i="1"/>
  <c r="C29" i="1" a="1"/>
  <c r="R29" i="1"/>
  <c r="R29" i="1" a="1"/>
  <c r="P29" i="1"/>
  <c r="P29" i="1" a="1"/>
  <c r="H29" i="1"/>
  <c r="H29" i="1" a="1"/>
  <c r="B29" i="1"/>
  <c r="Z29" i="1"/>
  <c r="Z29" i="1" a="1"/>
  <c r="L29" i="1"/>
  <c r="L29" i="1" a="1"/>
  <c r="E29" i="1"/>
  <c r="E29" i="1" a="1"/>
  <c r="T29" i="1"/>
  <c r="T29" i="1" a="1"/>
  <c r="J29" i="1"/>
  <c r="J29" i="1" a="1"/>
  <c r="AB29" i="1"/>
  <c r="AB29" i="1" a="1"/>
  <c r="N29" i="1"/>
  <c r="N29" i="1" a="1"/>
  <c r="K29" i="1"/>
  <c r="B29" i="1" a="1"/>
  <c r="K29" i="1" a="1"/>
  <c r="L25" i="1"/>
  <c r="L25" i="1" a="1"/>
  <c r="AB25" i="1"/>
  <c r="AB25" i="1" a="1"/>
  <c r="T25" i="1"/>
  <c r="T25" i="1" a="1"/>
  <c r="J25" i="1"/>
  <c r="J25" i="1" a="1"/>
  <c r="D25" i="1"/>
  <c r="D25" i="1" a="1"/>
  <c r="B25" i="1"/>
  <c r="X25" i="1"/>
  <c r="X25" i="1" a="1"/>
  <c r="V25" i="1"/>
  <c r="V25" i="1" a="1"/>
  <c r="I25" i="1"/>
  <c r="I25" i="1" a="1"/>
  <c r="H25" i="1"/>
  <c r="H25" i="1" a="1"/>
  <c r="Z25" i="1"/>
  <c r="Z25" i="1" a="1"/>
  <c r="C25" i="1"/>
  <c r="C25" i="1" a="1"/>
  <c r="P25" i="1"/>
  <c r="P25" i="1" a="1"/>
  <c r="E25" i="1"/>
  <c r="E25" i="1" a="1"/>
  <c r="R25" i="1"/>
  <c r="R25" i="1" a="1"/>
  <c r="K25" i="1"/>
  <c r="K25" i="1" a="1"/>
  <c r="N25" i="1"/>
  <c r="B25" i="1" a="1"/>
  <c r="N25" i="1" a="1"/>
  <c r="B10" i="1"/>
  <c r="R10" i="1"/>
  <c r="R10" i="1" a="1"/>
  <c r="T10" i="1"/>
  <c r="T10" i="1" a="1"/>
  <c r="V10" i="1"/>
  <c r="V10" i="1" a="1"/>
  <c r="H10" i="1"/>
  <c r="H10" i="1" a="1"/>
  <c r="J10" i="1"/>
  <c r="J10" i="1" a="1"/>
  <c r="I10" i="1"/>
  <c r="I10" i="1" a="1"/>
  <c r="Z10" i="1"/>
  <c r="Z10" i="1" a="1"/>
  <c r="K10" i="1"/>
  <c r="K10" i="1" a="1"/>
  <c r="L10" i="1"/>
  <c r="L10" i="1" a="1"/>
  <c r="AB10" i="1"/>
  <c r="AB10" i="1" a="1"/>
  <c r="E10" i="1"/>
  <c r="E10" i="1" a="1"/>
  <c r="C10" i="1"/>
  <c r="C10" i="1" a="1"/>
  <c r="D10" i="1"/>
  <c r="D10" i="1" a="1"/>
  <c r="X10" i="1"/>
  <c r="X10" i="1" a="1"/>
  <c r="N10" i="1"/>
  <c r="N10" i="1" a="1"/>
  <c r="P10" i="1"/>
  <c r="B10" i="1" a="1"/>
  <c r="P10" i="1" a="1"/>
  <c r="E36" i="1"/>
  <c r="E36" i="1" a="1"/>
  <c r="T36" i="1"/>
  <c r="T36" i="1" a="1"/>
  <c r="L36" i="1"/>
  <c r="L36" i="1" a="1"/>
  <c r="I36" i="1"/>
  <c r="I36" i="1" a="1"/>
  <c r="V36" i="1"/>
  <c r="V36" i="1" a="1"/>
  <c r="R36" i="1"/>
  <c r="R36" i="1" a="1"/>
  <c r="Z36" i="1"/>
  <c r="Z36" i="1" a="1"/>
  <c r="AB36" i="1"/>
  <c r="AB36" i="1" a="1"/>
  <c r="C36" i="1"/>
  <c r="C36" i="1" a="1"/>
  <c r="B36" i="1"/>
  <c r="J36" i="1"/>
  <c r="J36" i="1" a="1"/>
  <c r="K36" i="1"/>
  <c r="K36" i="1" a="1"/>
  <c r="H36" i="1"/>
  <c r="H36" i="1" a="1"/>
  <c r="N36" i="1"/>
  <c r="N36" i="1" a="1"/>
  <c r="X36" i="1"/>
  <c r="X36" i="1" a="1"/>
  <c r="P36" i="1"/>
  <c r="P36" i="1" a="1"/>
  <c r="D36" i="1"/>
  <c r="B36" i="1" a="1"/>
  <c r="D36" i="1" a="1"/>
  <c r="N12" i="1"/>
  <c r="N12" i="1" a="1"/>
  <c r="P12" i="1"/>
  <c r="P12" i="1" a="1"/>
  <c r="X12" i="1"/>
  <c r="X12" i="1" a="1"/>
  <c r="E12" i="1"/>
  <c r="E12" i="1" a="1"/>
  <c r="Z12" i="1"/>
  <c r="Z12" i="1" a="1"/>
  <c r="C12" i="1"/>
  <c r="C12" i="1" a="1"/>
  <c r="B12" i="1"/>
  <c r="H12" i="1"/>
  <c r="H12" i="1" a="1"/>
  <c r="D12" i="1"/>
  <c r="D12" i="1" a="1"/>
  <c r="T12" i="1"/>
  <c r="T12" i="1" a="1"/>
  <c r="K12" i="1"/>
  <c r="K12" i="1" a="1"/>
  <c r="J12" i="1"/>
  <c r="J12" i="1" a="1"/>
  <c r="I12" i="1"/>
  <c r="I12" i="1" a="1"/>
  <c r="V12" i="1"/>
  <c r="V12" i="1" a="1"/>
  <c r="L12" i="1"/>
  <c r="L12" i="1" a="1"/>
  <c r="AB12" i="1"/>
  <c r="AB12" i="1" a="1"/>
  <c r="R12" i="1"/>
  <c r="B12" i="1" a="1"/>
  <c r="R12" i="1" a="1"/>
  <c r="D16" i="1"/>
  <c r="D16" i="1" a="1"/>
  <c r="E16" i="1"/>
  <c r="E16" i="1" a="1"/>
  <c r="V16" i="1"/>
  <c r="V16" i="1" a="1"/>
  <c r="T16" i="1"/>
  <c r="T16" i="1" a="1"/>
  <c r="L16" i="1"/>
  <c r="L16" i="1" a="1"/>
  <c r="AB16" i="1"/>
  <c r="AB16" i="1" a="1"/>
  <c r="X16" i="1"/>
  <c r="X16" i="1" a="1"/>
  <c r="Z16" i="1"/>
  <c r="Z16" i="1" a="1"/>
  <c r="C16" i="1"/>
  <c r="C16" i="1" a="1"/>
  <c r="N16" i="1"/>
  <c r="N16" i="1" a="1"/>
  <c r="H16" i="1"/>
  <c r="H16" i="1" a="1"/>
  <c r="R16" i="1"/>
  <c r="R16" i="1" a="1"/>
  <c r="P16" i="1"/>
  <c r="P16" i="1" a="1"/>
  <c r="I16" i="1"/>
  <c r="I16" i="1" a="1"/>
  <c r="B16" i="1"/>
  <c r="K16" i="1"/>
  <c r="K16" i="1" a="1"/>
  <c r="J16" i="1"/>
  <c r="B16" i="1" a="1"/>
  <c r="J16" i="1" a="1"/>
  <c r="X38" i="1"/>
  <c r="X38" i="1" a="1"/>
  <c r="B38" i="1"/>
  <c r="V38" i="1"/>
  <c r="V38" i="1" a="1"/>
  <c r="J38" i="1"/>
  <c r="J38" i="1" a="1"/>
  <c r="I38" i="1"/>
  <c r="I38" i="1" a="1"/>
  <c r="K38" i="1"/>
  <c r="K38" i="1" a="1"/>
  <c r="E38" i="1"/>
  <c r="E38" i="1" a="1"/>
  <c r="T38" i="1"/>
  <c r="T38" i="1" a="1"/>
  <c r="Z38" i="1"/>
  <c r="Z38" i="1" a="1"/>
  <c r="H38" i="1"/>
  <c r="H38" i="1" a="1"/>
  <c r="R38" i="1"/>
  <c r="R38" i="1" a="1"/>
  <c r="C38" i="1"/>
  <c r="C38" i="1" a="1"/>
  <c r="N38" i="1"/>
  <c r="N38" i="1" a="1"/>
  <c r="P38" i="1"/>
  <c r="P38" i="1" a="1"/>
  <c r="AB38" i="1"/>
  <c r="AB38" i="1" a="1"/>
  <c r="L38" i="1"/>
  <c r="L38" i="1" a="1"/>
  <c r="D38" i="1"/>
  <c r="B38" i="1" a="1"/>
  <c r="D38" i="1" a="1"/>
  <c r="N7" i="1"/>
  <c r="N7" i="1" a="1"/>
  <c r="X7" i="1"/>
  <c r="X7" i="1" a="1"/>
  <c r="H7" i="1"/>
  <c r="H7" i="1" a="1"/>
  <c r="K7" i="1"/>
  <c r="K7" i="1" a="1"/>
  <c r="B7" i="1"/>
  <c r="C7" i="1"/>
  <c r="C7" i="1" a="1"/>
  <c r="L7" i="1"/>
  <c r="L7" i="1" a="1"/>
  <c r="T7" i="1"/>
  <c r="T7" i="1" a="1"/>
  <c r="Z7" i="1"/>
  <c r="Z7" i="1" a="1"/>
  <c r="E7" i="1"/>
  <c r="E7" i="1" a="1"/>
  <c r="R7" i="1"/>
  <c r="R7" i="1" a="1"/>
  <c r="D7" i="1"/>
  <c r="D7" i="1" a="1"/>
  <c r="AB7" i="1"/>
  <c r="AB7" i="1" a="1"/>
  <c r="P7" i="1"/>
  <c r="P7" i="1" a="1"/>
  <c r="V7" i="1"/>
  <c r="V7" i="1" a="1"/>
  <c r="I7" i="1"/>
  <c r="I7" i="1" a="1"/>
  <c r="J7" i="1"/>
  <c r="B7" i="1" a="1"/>
  <c r="J7" i="1" a="1"/>
  <c r="J13" i="1"/>
  <c r="J13" i="1" a="1"/>
  <c r="E13" i="1"/>
  <c r="E13" i="1" a="1"/>
  <c r="AB13" i="1"/>
  <c r="AB13" i="1" a="1"/>
  <c r="L13" i="1"/>
  <c r="L13" i="1" a="1"/>
  <c r="R13" i="1"/>
  <c r="R13" i="1" a="1"/>
  <c r="P13" i="1"/>
  <c r="P13" i="1" a="1"/>
  <c r="I13" i="1"/>
  <c r="I13" i="1" a="1"/>
  <c r="T13" i="1"/>
  <c r="T13" i="1" a="1"/>
  <c r="D13" i="1"/>
  <c r="D13" i="1" a="1"/>
  <c r="X13" i="1"/>
  <c r="X13" i="1" a="1"/>
  <c r="V13" i="1"/>
  <c r="V13" i="1" a="1"/>
  <c r="N13" i="1"/>
  <c r="N13" i="1" a="1"/>
  <c r="C13" i="1"/>
  <c r="C13" i="1" a="1"/>
  <c r="H13" i="1"/>
  <c r="H13" i="1" a="1"/>
  <c r="B13" i="1"/>
  <c r="Z13" i="1"/>
  <c r="Z13" i="1" a="1"/>
  <c r="K13" i="1"/>
  <c r="B13" i="1" a="1"/>
  <c r="K13" i="1" a="1"/>
  <c r="E4" i="1"/>
  <c r="E4" i="1" a="1"/>
  <c r="B4" i="1"/>
  <c r="X4" i="1"/>
  <c r="X4" i="1" a="1"/>
  <c r="Z4" i="1"/>
  <c r="Z4" i="1" a="1"/>
  <c r="H4" i="1"/>
  <c r="H4" i="1" a="1"/>
  <c r="AB4" i="1"/>
  <c r="AB4" i="1" a="1"/>
  <c r="C4" i="1"/>
  <c r="C4" i="1" a="1"/>
  <c r="K4" i="1"/>
  <c r="K4" i="1" a="1"/>
  <c r="D4" i="1"/>
  <c r="D4" i="1" a="1"/>
  <c r="N4" i="1"/>
  <c r="N4" i="1" a="1"/>
  <c r="V4" i="1"/>
  <c r="V4" i="1" a="1"/>
  <c r="L4" i="1"/>
  <c r="L4" i="1" a="1"/>
  <c r="T4" i="1"/>
  <c r="T4" i="1" a="1"/>
  <c r="P4" i="1"/>
  <c r="P4" i="1" a="1"/>
  <c r="R4" i="1"/>
  <c r="R4" i="1" a="1"/>
  <c r="J4" i="1"/>
  <c r="B4" i="1" a="1"/>
  <c r="J4" i="1" a="1"/>
  <c r="AB14" i="1"/>
  <c r="AB14" i="1" a="1"/>
  <c r="R14" i="1"/>
  <c r="R14" i="1" a="1"/>
  <c r="J14" i="1"/>
  <c r="J14" i="1" a="1"/>
  <c r="Z14" i="1"/>
  <c r="Z14" i="1" a="1"/>
  <c r="E14" i="1"/>
  <c r="E14" i="1" a="1"/>
  <c r="I14" i="1"/>
  <c r="I14" i="1" a="1"/>
  <c r="X14" i="1"/>
  <c r="X14" i="1" a="1"/>
  <c r="L14" i="1"/>
  <c r="L14" i="1" a="1"/>
  <c r="H14" i="1"/>
  <c r="H14" i="1" a="1"/>
  <c r="V14" i="1"/>
  <c r="V14" i="1" a="1"/>
  <c r="K14" i="1"/>
  <c r="K14" i="1" a="1"/>
  <c r="B14" i="1"/>
  <c r="N14" i="1"/>
  <c r="N14" i="1" a="1"/>
  <c r="C14" i="1"/>
  <c r="C14" i="1" a="1"/>
  <c r="P14" i="1"/>
  <c r="P14" i="1" a="1"/>
  <c r="D14" i="1"/>
  <c r="D14" i="1" a="1"/>
  <c r="T14" i="1"/>
  <c r="B14" i="1" a="1"/>
  <c r="T14" i="1" a="1"/>
  <c r="X19" i="1"/>
  <c r="X19" i="1" a="1"/>
  <c r="C19" i="1"/>
  <c r="C19" i="1" a="1"/>
  <c r="H19" i="1"/>
  <c r="H19" i="1" a="1"/>
  <c r="Z19" i="1"/>
  <c r="Z19" i="1" a="1"/>
  <c r="N19" i="1"/>
  <c r="N19" i="1" a="1"/>
  <c r="D19" i="1"/>
  <c r="D19" i="1" a="1"/>
  <c r="E19" i="1"/>
  <c r="E19" i="1" a="1"/>
  <c r="T19" i="1"/>
  <c r="T19" i="1" a="1"/>
  <c r="B19" i="1"/>
  <c r="AB19" i="1"/>
  <c r="AB19" i="1" a="1"/>
  <c r="V19" i="1"/>
  <c r="V19" i="1" a="1"/>
  <c r="P19" i="1"/>
  <c r="P19" i="1" a="1"/>
  <c r="I19" i="1"/>
  <c r="I19" i="1" a="1"/>
  <c r="R19" i="1"/>
  <c r="R19" i="1" a="1"/>
  <c r="K19" i="1"/>
  <c r="K19" i="1" a="1"/>
  <c r="L19" i="1"/>
  <c r="L19" i="1" a="1"/>
  <c r="J19" i="1"/>
  <c r="B19" i="1" a="1"/>
  <c r="J19" i="1" a="1"/>
  <c r="I26" i="1"/>
  <c r="I26" i="1" a="1"/>
  <c r="X26" i="1"/>
  <c r="X26" i="1" a="1"/>
  <c r="E26" i="1"/>
  <c r="E26" i="1" a="1"/>
  <c r="N26" i="1"/>
  <c r="N26" i="1" a="1"/>
  <c r="K26" i="1"/>
  <c r="K26" i="1" a="1"/>
  <c r="T26" i="1"/>
  <c r="T26" i="1" a="1"/>
  <c r="D26" i="1"/>
  <c r="D26" i="1" a="1"/>
  <c r="AB26" i="1"/>
  <c r="AB26" i="1" a="1"/>
  <c r="Z26" i="1"/>
  <c r="Z26" i="1" a="1"/>
  <c r="R26" i="1"/>
  <c r="R26" i="1" a="1"/>
  <c r="L26" i="1"/>
  <c r="L26" i="1" a="1"/>
  <c r="P26" i="1"/>
  <c r="P26" i="1" a="1"/>
  <c r="C26" i="1"/>
  <c r="C26" i="1" a="1"/>
  <c r="H26" i="1"/>
  <c r="H26" i="1" a="1"/>
  <c r="B26" i="1"/>
  <c r="J26" i="1"/>
  <c r="J26" i="1" a="1"/>
  <c r="V26" i="1"/>
  <c r="B26" i="1" a="1"/>
  <c r="V26" i="1" a="1"/>
  <c r="L35" i="1"/>
  <c r="L35" i="1" a="1"/>
  <c r="J35" i="1"/>
  <c r="J35" i="1" a="1"/>
  <c r="R35" i="1"/>
  <c r="R35" i="1" a="1"/>
  <c r="T35" i="1"/>
  <c r="T35" i="1" a="1"/>
  <c r="P35" i="1"/>
  <c r="P35" i="1" a="1"/>
  <c r="K35" i="1"/>
  <c r="K35" i="1" a="1"/>
  <c r="Z35" i="1"/>
  <c r="Z35" i="1" a="1"/>
  <c r="I35" i="1"/>
  <c r="I35" i="1" a="1"/>
  <c r="E35" i="1"/>
  <c r="E35" i="1" a="1"/>
  <c r="H35" i="1"/>
  <c r="H35" i="1" a="1"/>
  <c r="V35" i="1"/>
  <c r="V35" i="1" a="1"/>
  <c r="B35" i="1"/>
  <c r="D35" i="1"/>
  <c r="D35" i="1" a="1"/>
  <c r="AB35" i="1"/>
  <c r="AB35" i="1" a="1"/>
  <c r="N35" i="1"/>
  <c r="N35" i="1" a="1"/>
  <c r="X35" i="1"/>
  <c r="X35" i="1" a="1"/>
  <c r="C35" i="1"/>
  <c r="B35" i="1" a="1"/>
  <c r="C35" i="1" a="1"/>
  <c r="Z11" i="1"/>
  <c r="Z11" i="1" a="1"/>
  <c r="V11" i="1"/>
  <c r="V11" i="1" a="1"/>
  <c r="B11" i="1"/>
  <c r="K11" i="1"/>
  <c r="K11" i="1" a="1"/>
  <c r="N11" i="1"/>
  <c r="N11" i="1" a="1"/>
  <c r="D11" i="1"/>
  <c r="D11" i="1" a="1"/>
  <c r="I11" i="1"/>
  <c r="I11" i="1" a="1"/>
  <c r="P11" i="1"/>
  <c r="P11" i="1" a="1"/>
  <c r="X11" i="1"/>
  <c r="X11" i="1" a="1"/>
  <c r="AB11" i="1"/>
  <c r="AB11" i="1" a="1"/>
  <c r="T11" i="1"/>
  <c r="T11" i="1" a="1"/>
  <c r="J11" i="1"/>
  <c r="J11" i="1" a="1"/>
  <c r="E11" i="1"/>
  <c r="E11" i="1" a="1"/>
  <c r="H11" i="1"/>
  <c r="H11" i="1" a="1"/>
  <c r="C11" i="1"/>
  <c r="C11" i="1" a="1"/>
  <c r="R11" i="1"/>
  <c r="R11" i="1" a="1"/>
  <c r="L11" i="1"/>
  <c r="B11" i="1" a="1"/>
  <c r="L11" i="1" a="1"/>
  <c r="K9" i="1"/>
  <c r="K9" i="1" a="1"/>
  <c r="X9" i="1"/>
  <c r="X9" i="1" a="1"/>
  <c r="C9" i="1"/>
  <c r="C9" i="1" a="1"/>
  <c r="V9" i="1"/>
  <c r="V9" i="1" a="1"/>
  <c r="T9" i="1"/>
  <c r="T9" i="1" a="1"/>
  <c r="AB9" i="1"/>
  <c r="AB9" i="1" a="1"/>
  <c r="D9" i="1"/>
  <c r="D9" i="1" a="1"/>
  <c r="Z9" i="1"/>
  <c r="Z9" i="1" a="1"/>
  <c r="R9" i="1"/>
  <c r="R9" i="1" a="1"/>
  <c r="E9" i="1"/>
  <c r="E9" i="1" a="1"/>
  <c r="L9" i="1"/>
  <c r="L9" i="1" a="1"/>
  <c r="N9" i="1"/>
  <c r="N9" i="1" a="1"/>
  <c r="I9" i="1"/>
  <c r="I9" i="1" a="1"/>
  <c r="H9" i="1"/>
  <c r="H9" i="1" a="1"/>
  <c r="B9" i="1"/>
  <c r="P9" i="1"/>
  <c r="P9" i="1" a="1"/>
  <c r="J9" i="1"/>
  <c r="B9" i="1" a="1"/>
  <c r="J9" i="1" a="1"/>
  <c r="E17" i="1"/>
  <c r="E17" i="1" a="1"/>
  <c r="H17" i="1"/>
  <c r="H17" i="1" a="1"/>
  <c r="I17" i="1"/>
  <c r="I17" i="1" a="1"/>
  <c r="V17" i="1"/>
  <c r="V17" i="1" a="1"/>
  <c r="K17" i="1"/>
  <c r="K17" i="1" a="1"/>
  <c r="D17" i="1"/>
  <c r="D17" i="1" a="1"/>
  <c r="P17" i="1"/>
  <c r="P17" i="1" a="1"/>
  <c r="J17" i="1"/>
  <c r="J17" i="1" a="1"/>
  <c r="N17" i="1"/>
  <c r="N17" i="1" a="1"/>
  <c r="Z17" i="1"/>
  <c r="Z17" i="1" a="1"/>
  <c r="B17" i="1"/>
  <c r="L17" i="1"/>
  <c r="L17" i="1" a="1"/>
  <c r="R17" i="1"/>
  <c r="R17" i="1" a="1"/>
  <c r="T17" i="1"/>
  <c r="T17" i="1" a="1"/>
  <c r="X17" i="1"/>
  <c r="X17" i="1" a="1"/>
  <c r="AB17" i="1"/>
  <c r="AB17" i="1" a="1"/>
  <c r="C17" i="1"/>
  <c r="B17" i="1" a="1"/>
  <c r="C17" i="1" a="1"/>
  <c r="X15" i="1"/>
  <c r="X15" i="1" a="1"/>
  <c r="D15" i="1"/>
  <c r="D15" i="1" a="1"/>
  <c r="L15" i="1"/>
  <c r="L15" i="1" a="1"/>
  <c r="K15" i="1"/>
  <c r="K15" i="1" a="1"/>
  <c r="J15" i="1"/>
  <c r="J15" i="1" a="1"/>
  <c r="I15" i="1"/>
  <c r="I15" i="1" a="1"/>
  <c r="Z15" i="1"/>
  <c r="Z15" i="1" a="1"/>
  <c r="C15" i="1"/>
  <c r="C15" i="1" a="1"/>
  <c r="V15" i="1"/>
  <c r="V15" i="1" a="1"/>
  <c r="R15" i="1"/>
  <c r="R15" i="1" a="1"/>
  <c r="B15" i="1"/>
  <c r="T15" i="1"/>
  <c r="T15" i="1" a="1"/>
  <c r="N15" i="1"/>
  <c r="N15" i="1" a="1"/>
  <c r="P15" i="1"/>
  <c r="P15" i="1" a="1"/>
  <c r="H15" i="1"/>
  <c r="H15" i="1" a="1"/>
  <c r="E15" i="1"/>
  <c r="E15" i="1" a="1"/>
  <c r="AB15" i="1"/>
  <c r="B15" i="1" a="1"/>
  <c r="AB15" i="1" a="1"/>
  <c r="AB8" i="1"/>
  <c r="AB8" i="1" a="1"/>
  <c r="L8" i="1"/>
  <c r="L8" i="1" a="1"/>
  <c r="H8" i="1"/>
  <c r="H8" i="1" a="1"/>
  <c r="T8" i="1"/>
  <c r="T8" i="1" a="1"/>
  <c r="B8" i="1"/>
  <c r="C8" i="1"/>
  <c r="C8" i="1" a="1"/>
  <c r="X8" i="1"/>
  <c r="X8" i="1" a="1"/>
  <c r="Z8" i="1"/>
  <c r="Z8" i="1" a="1"/>
  <c r="D8" i="1"/>
  <c r="D8" i="1" a="1"/>
  <c r="V8" i="1"/>
  <c r="V8" i="1" a="1"/>
  <c r="E8" i="1"/>
  <c r="E8" i="1" a="1"/>
  <c r="N8" i="1"/>
  <c r="N8" i="1" a="1"/>
  <c r="P8" i="1"/>
  <c r="P8" i="1" a="1"/>
  <c r="J8" i="1"/>
  <c r="J8" i="1" a="1"/>
  <c r="R8" i="1"/>
  <c r="R8" i="1" a="1"/>
  <c r="I8" i="1"/>
  <c r="I8" i="1" a="1"/>
  <c r="K8" i="1"/>
  <c r="B8" i="1" a="1"/>
  <c r="K8" i="1" a="1"/>
  <c r="N27" i="1"/>
  <c r="N27" i="1" a="1"/>
  <c r="B27" i="1"/>
  <c r="K27" i="1"/>
  <c r="K27" i="1" a="1"/>
  <c r="V27" i="1"/>
  <c r="V27" i="1" a="1"/>
  <c r="D27" i="1"/>
  <c r="D27" i="1" a="1"/>
  <c r="I27" i="1"/>
  <c r="I27" i="1" a="1"/>
  <c r="T27" i="1"/>
  <c r="T27" i="1" a="1"/>
  <c r="L27" i="1"/>
  <c r="L27" i="1" a="1"/>
  <c r="J27" i="1"/>
  <c r="J27" i="1" a="1"/>
  <c r="P27" i="1"/>
  <c r="P27" i="1" a="1"/>
  <c r="Z27" i="1"/>
  <c r="Z27" i="1" a="1"/>
  <c r="E27" i="1"/>
  <c r="E27" i="1" a="1"/>
  <c r="AB27" i="1"/>
  <c r="AB27" i="1" a="1"/>
  <c r="H27" i="1"/>
  <c r="H27" i="1" a="1"/>
  <c r="X27" i="1"/>
  <c r="X27" i="1" a="1"/>
  <c r="R27" i="1"/>
  <c r="R27" i="1" a="1"/>
  <c r="C27" i="1"/>
  <c r="B27" i="1" a="1"/>
  <c r="C27" i="1" a="1"/>
  <c r="Z2" i="1"/>
  <c r="Z2" i="1" a="1"/>
  <c r="T2" i="1"/>
  <c r="T2" i="1" a="1"/>
  <c r="K2" i="1"/>
  <c r="K2" i="1" a="1"/>
  <c r="J2" i="1"/>
  <c r="J2" i="1" a="1"/>
  <c r="P2" i="1"/>
  <c r="P2" i="1" a="1"/>
  <c r="X2" i="1"/>
  <c r="X2" i="1" a="1"/>
  <c r="H2" i="1"/>
  <c r="H2" i="1" a="1"/>
  <c r="B2" i="1"/>
  <c r="N2" i="1"/>
  <c r="N2" i="1" a="1"/>
  <c r="L2" i="1"/>
  <c r="L2" i="1" a="1"/>
  <c r="R2" i="1"/>
  <c r="R2" i="1" a="1"/>
  <c r="E2" i="1"/>
  <c r="E2" i="1" a="1"/>
  <c r="D2" i="1"/>
  <c r="D2" i="1" a="1"/>
  <c r="V2" i="1"/>
  <c r="V2" i="1" a="1"/>
  <c r="C2" i="1"/>
  <c r="C2" i="1" a="1"/>
  <c r="AB2" i="1"/>
  <c r="B2" i="1" a="1"/>
  <c r="AB2" i="1" a="1"/>
  <c r="J23" i="1"/>
  <c r="J23" i="1" a="1"/>
  <c r="AB23" i="1"/>
  <c r="AB23" i="1" a="1"/>
  <c r="B23" i="1"/>
  <c r="D23" i="1"/>
  <c r="D23" i="1" a="1"/>
  <c r="N23" i="1"/>
  <c r="N23" i="1" a="1"/>
  <c r="R23" i="1"/>
  <c r="R23" i="1" a="1"/>
  <c r="C23" i="1"/>
  <c r="C23" i="1" a="1"/>
  <c r="H23" i="1"/>
  <c r="H23" i="1" a="1"/>
  <c r="K23" i="1"/>
  <c r="K23" i="1" a="1"/>
  <c r="Z23" i="1"/>
  <c r="Z23" i="1" a="1"/>
  <c r="V23" i="1"/>
  <c r="V23" i="1" a="1"/>
  <c r="E23" i="1"/>
  <c r="E23" i="1" a="1"/>
  <c r="L23" i="1"/>
  <c r="L23" i="1" a="1"/>
  <c r="T23" i="1"/>
  <c r="T23" i="1" a="1"/>
  <c r="I23" i="1"/>
  <c r="I23" i="1" a="1"/>
  <c r="X23" i="1"/>
  <c r="X23" i="1" a="1"/>
  <c r="P23" i="1"/>
  <c r="B23" i="1" a="1"/>
  <c r="P23" i="1" a="1"/>
  <c r="N21" i="1"/>
  <c r="N21" i="1" a="1"/>
  <c r="B21" i="1"/>
  <c r="H21" i="1"/>
  <c r="H21" i="1" a="1"/>
  <c r="AB21" i="1"/>
  <c r="AB21" i="1" a="1"/>
  <c r="C21" i="1"/>
  <c r="C21" i="1" a="1"/>
  <c r="J21" i="1"/>
  <c r="J21" i="1" a="1"/>
  <c r="K21" i="1"/>
  <c r="K21" i="1" a="1"/>
  <c r="I21" i="1"/>
  <c r="I21" i="1" a="1"/>
  <c r="E21" i="1"/>
  <c r="E21" i="1" a="1"/>
  <c r="T21" i="1"/>
  <c r="T21" i="1" a="1"/>
  <c r="X21" i="1"/>
  <c r="X21" i="1" a="1"/>
  <c r="Z21" i="1"/>
  <c r="Z21" i="1" a="1"/>
  <c r="L21" i="1"/>
  <c r="L21" i="1" a="1"/>
  <c r="P21" i="1"/>
  <c r="P21" i="1" a="1"/>
  <c r="D21" i="1"/>
  <c r="D21" i="1" a="1"/>
  <c r="R21" i="1"/>
  <c r="R21" i="1" a="1"/>
  <c r="V21" i="1"/>
  <c r="B21" i="1" a="1"/>
  <c r="V21" i="1" a="1"/>
  <c r="I34" i="1"/>
  <c r="I34" i="1" a="1"/>
  <c r="B34" i="1"/>
  <c r="R34" i="1"/>
  <c r="R34" i="1" a="1"/>
  <c r="T34" i="1"/>
  <c r="T34" i="1" a="1"/>
  <c r="AB34" i="1"/>
  <c r="AB34" i="1" a="1"/>
  <c r="C34" i="1"/>
  <c r="C34" i="1" a="1"/>
  <c r="L34" i="1"/>
  <c r="L34" i="1" a="1"/>
  <c r="H34" i="1"/>
  <c r="H34" i="1" a="1"/>
  <c r="P34" i="1"/>
  <c r="P34" i="1" a="1"/>
  <c r="E34" i="1"/>
  <c r="E34" i="1" a="1"/>
  <c r="D34" i="1"/>
  <c r="D34" i="1" a="1"/>
  <c r="K34" i="1"/>
  <c r="K34" i="1" a="1"/>
  <c r="V34" i="1"/>
  <c r="V34" i="1" a="1"/>
  <c r="Z34" i="1"/>
  <c r="Z34" i="1" a="1"/>
  <c r="X34" i="1"/>
  <c r="X34" i="1" a="1"/>
  <c r="N34" i="1"/>
  <c r="N34" i="1" a="1"/>
  <c r="J34" i="1"/>
  <c r="B34" i="1" a="1"/>
  <c r="J34" i="1" a="1"/>
  <c r="P6" i="1"/>
  <c r="P6" i="1" a="1"/>
  <c r="D6" i="1"/>
  <c r="D6" i="1" a="1"/>
  <c r="K6" i="1"/>
  <c r="K6" i="1" a="1"/>
  <c r="C6" i="1"/>
  <c r="C6" i="1" a="1"/>
  <c r="E6" i="1"/>
  <c r="E6" i="1" a="1"/>
  <c r="R6" i="1"/>
  <c r="R6" i="1" a="1"/>
  <c r="L6" i="1"/>
  <c r="L6" i="1" a="1"/>
  <c r="N6" i="1"/>
  <c r="N6" i="1" a="1"/>
  <c r="AB6" i="1"/>
  <c r="AB6" i="1" a="1"/>
  <c r="B6" i="1"/>
  <c r="H6" i="1"/>
  <c r="H6" i="1" a="1"/>
  <c r="X6" i="1"/>
  <c r="X6" i="1" a="1"/>
  <c r="V6" i="1"/>
  <c r="V6" i="1" a="1"/>
  <c r="T6" i="1"/>
  <c r="T6" i="1" a="1"/>
  <c r="Z6" i="1"/>
  <c r="Z6" i="1" a="1"/>
  <c r="J6" i="1"/>
  <c r="B6" i="1" a="1"/>
  <c r="J6" i="1" a="1"/>
  <c r="H5" i="1"/>
  <c r="H5" i="1" a="1"/>
  <c r="L5" i="1"/>
  <c r="L5" i="1" a="1"/>
  <c r="D5" i="1"/>
  <c r="D5" i="1" a="1"/>
  <c r="B5" i="1"/>
  <c r="K5" i="1"/>
  <c r="K5" i="1" a="1"/>
  <c r="V5" i="1"/>
  <c r="V5" i="1" a="1"/>
  <c r="Z5" i="1"/>
  <c r="Z5" i="1" a="1"/>
  <c r="T5" i="1"/>
  <c r="T5" i="1" a="1"/>
  <c r="X5" i="1"/>
  <c r="X5" i="1" a="1"/>
  <c r="J5" i="1"/>
  <c r="J5" i="1" a="1"/>
  <c r="R5" i="1"/>
  <c r="R5" i="1" a="1"/>
  <c r="AB5" i="1"/>
  <c r="AB5" i="1" a="1"/>
  <c r="C5" i="1"/>
  <c r="C5" i="1" a="1"/>
  <c r="P5" i="1"/>
  <c r="P5" i="1" a="1"/>
  <c r="N5" i="1"/>
  <c r="N5" i="1" a="1"/>
  <c r="E5" i="1"/>
  <c r="B5" i="1" a="1"/>
  <c r="E5" i="1" a="1"/>
  <c r="D20" i="1"/>
  <c r="D20" i="1" a="1"/>
  <c r="B20" i="1"/>
  <c r="I20" i="1"/>
  <c r="I20" i="1" a="1"/>
  <c r="X20" i="1"/>
  <c r="X20" i="1" a="1"/>
  <c r="V20" i="1"/>
  <c r="V20" i="1" a="1"/>
  <c r="N20" i="1"/>
  <c r="N20" i="1" a="1"/>
  <c r="R20" i="1"/>
  <c r="R20" i="1" a="1"/>
  <c r="E20" i="1"/>
  <c r="E20" i="1" a="1"/>
  <c r="J20" i="1"/>
  <c r="J20" i="1" a="1"/>
  <c r="K20" i="1"/>
  <c r="K20" i="1" a="1"/>
  <c r="C20" i="1"/>
  <c r="C20" i="1" a="1"/>
  <c r="Z20" i="1"/>
  <c r="Z20" i="1" a="1"/>
  <c r="H20" i="1"/>
  <c r="H20" i="1" a="1"/>
  <c r="P20" i="1"/>
  <c r="P20" i="1" a="1"/>
  <c r="AB20" i="1"/>
  <c r="AB20" i="1" a="1"/>
  <c r="L20" i="1"/>
  <c r="L20" i="1" a="1"/>
  <c r="T20" i="1"/>
  <c r="B20" i="1" a="1"/>
  <c r="T20" i="1" a="1"/>
  <c r="R22" i="1"/>
  <c r="R22" i="1" a="1"/>
  <c r="B22" i="1"/>
  <c r="H22" i="1"/>
  <c r="H22" i="1" a="1"/>
  <c r="K22" i="1"/>
  <c r="K22" i="1" a="1"/>
  <c r="X22" i="1"/>
  <c r="X22" i="1" a="1"/>
  <c r="D22" i="1"/>
  <c r="D22" i="1" a="1"/>
  <c r="E22" i="1"/>
  <c r="E22" i="1" a="1"/>
  <c r="N22" i="1"/>
  <c r="N22" i="1" a="1"/>
  <c r="AB22" i="1"/>
  <c r="AB22" i="1" a="1"/>
  <c r="I22" i="1"/>
  <c r="I22" i="1" a="1"/>
  <c r="J22" i="1"/>
  <c r="J22" i="1" a="1"/>
  <c r="Z22" i="1"/>
  <c r="Z22" i="1" a="1"/>
  <c r="T22" i="1"/>
  <c r="T22" i="1" a="1"/>
  <c r="C22" i="1"/>
  <c r="C22" i="1" a="1"/>
  <c r="V22" i="1"/>
  <c r="V22" i="1" a="1"/>
  <c r="L22" i="1"/>
  <c r="L22" i="1" a="1"/>
  <c r="P22" i="1"/>
  <c r="B22" i="1" a="1"/>
  <c r="P22" i="1" a="1"/>
  <c r="V28" i="1"/>
  <c r="V28" i="1" a="1"/>
  <c r="P28" i="1"/>
  <c r="P28" i="1" a="1"/>
  <c r="AB28" i="1"/>
  <c r="AB28" i="1" a="1"/>
  <c r="N28" i="1"/>
  <c r="N28" i="1" a="1"/>
  <c r="C28" i="1"/>
  <c r="C28" i="1" a="1"/>
  <c r="X28" i="1"/>
  <c r="X28" i="1" a="1"/>
  <c r="I28" i="1"/>
  <c r="I28" i="1" a="1"/>
  <c r="D28" i="1"/>
  <c r="D28" i="1" a="1"/>
  <c r="H28" i="1"/>
  <c r="H28" i="1" a="1"/>
  <c r="B28" i="1"/>
  <c r="E28" i="1"/>
  <c r="E28" i="1" a="1"/>
  <c r="R28" i="1"/>
  <c r="R28" i="1" a="1"/>
  <c r="J28" i="1"/>
  <c r="J28" i="1" a="1"/>
  <c r="L28" i="1"/>
  <c r="L28" i="1" a="1"/>
  <c r="Z28" i="1"/>
  <c r="Z28" i="1" a="1"/>
  <c r="T28" i="1"/>
  <c r="T28" i="1" a="1"/>
  <c r="K28" i="1"/>
  <c r="B28" i="1" a="1"/>
  <c r="K28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  <author>Marleny Jaramillo</author>
  </authors>
  <commentList>
    <comment ref="F1" authorId="0" shapeId="0" xr:uid="{5F1EE711-F2F6-4A09-B9C6-9C3C42F31FF1}">
      <text>
        <r>
          <rPr>
            <sz val="9"/>
            <color indexed="81"/>
            <rFont val="Tahoma"/>
            <family val="2"/>
          </rPr>
          <t>La idea es llegar a conocer la criticidad</t>
        </r>
      </text>
    </comment>
    <comment ref="I1" authorId="1" shapeId="0" xr:uid="{9DF6CF95-009D-41AC-830F-7D8CAEC5A8DF}">
      <text>
        <r>
          <rPr>
            <b/>
            <sz val="9"/>
            <color indexed="81"/>
            <rFont val="Tahoma"/>
            <family val="2"/>
          </rPr>
          <t>Marleny Jaramillo:</t>
        </r>
        <r>
          <rPr>
            <sz val="9"/>
            <color indexed="81"/>
            <rFont val="Tahoma"/>
            <family val="2"/>
          </rPr>
          <t xml:space="preserve">
Puntaje total
1-6 : 24 meses
7-10 : 18 meses
11-15 : 12 meses
16-20 : 6 meses
+20 : 3 meses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<sst xmlns="http://schemas.openxmlformats.org/spreadsheetml/2006/main" count="392" uniqueCount="94">
  <si>
    <t>Marca</t>
  </si>
  <si>
    <t>Modelo</t>
  </si>
  <si>
    <t>N. Serial</t>
  </si>
  <si>
    <t>Proceso</t>
  </si>
  <si>
    <t>Magnitud</t>
  </si>
  <si>
    <t>Criticidad</t>
  </si>
  <si>
    <t>Cap. Máxima proceso</t>
  </si>
  <si>
    <t>Div. de escala</t>
  </si>
  <si>
    <t>Intervalo calibración</t>
  </si>
  <si>
    <t>Calibración actual</t>
  </si>
  <si>
    <t>Alarma Calibración</t>
  </si>
  <si>
    <t>Última verificación</t>
  </si>
  <si>
    <t>Alarma Verificación</t>
  </si>
  <si>
    <t>Último mantenimiento</t>
  </si>
  <si>
    <t>Alarma Mantto</t>
  </si>
  <si>
    <t>RESPONSABLE</t>
  </si>
  <si>
    <t>Observaciones</t>
  </si>
  <si>
    <t>MJM-001</t>
  </si>
  <si>
    <t>MJM-002</t>
  </si>
  <si>
    <t>MJM-003</t>
  </si>
  <si>
    <t>MJM-004</t>
  </si>
  <si>
    <t>MJM-005</t>
  </si>
  <si>
    <t>MJM-006</t>
  </si>
  <si>
    <t>MJM-007</t>
  </si>
  <si>
    <t>MJM-008</t>
  </si>
  <si>
    <t>MJM-009</t>
  </si>
  <si>
    <t>MJM-011</t>
  </si>
  <si>
    <t>MJM-012</t>
  </si>
  <si>
    <t>MJM-013</t>
  </si>
  <si>
    <t>MJM-014</t>
  </si>
  <si>
    <t>MJM-017</t>
  </si>
  <si>
    <t>MJM-018</t>
  </si>
  <si>
    <t>MJM-019</t>
  </si>
  <si>
    <t>MJM-022</t>
  </si>
  <si>
    <t>MJM-023</t>
  </si>
  <si>
    <t>MJM-054</t>
  </si>
  <si>
    <t>MJM-030</t>
  </si>
  <si>
    <t>MJM-031</t>
  </si>
  <si>
    <t>MJM-033</t>
  </si>
  <si>
    <t>MJM-034</t>
  </si>
  <si>
    <t>MJM-035</t>
  </si>
  <si>
    <t>MJM-038</t>
  </si>
  <si>
    <t>MJM-039</t>
  </si>
  <si>
    <t>MJM-040</t>
  </si>
  <si>
    <t>MJM-041</t>
  </si>
  <si>
    <t>MJM-042</t>
  </si>
  <si>
    <t>MJM-043</t>
  </si>
  <si>
    <t>MJM-044</t>
  </si>
  <si>
    <t>MJM-045</t>
  </si>
  <si>
    <t>MJM-046</t>
  </si>
  <si>
    <t>MJM-047</t>
  </si>
  <si>
    <t>MJM-048</t>
  </si>
  <si>
    <t>MJM-049</t>
  </si>
  <si>
    <t>MJM-057</t>
  </si>
  <si>
    <t>Instrumento</t>
  </si>
  <si>
    <t>Código interno</t>
  </si>
  <si>
    <t>Ubicación</t>
  </si>
  <si>
    <t>Cap. Máxima instrumento</t>
  </si>
  <si>
    <t>Cap. Mínima instrumento</t>
  </si>
  <si>
    <t>Cap. Mínima proceso</t>
  </si>
  <si>
    <t>Tolerancia del proceso</t>
  </si>
  <si>
    <t>Estado funcional</t>
  </si>
  <si>
    <t>Proveedor calibración</t>
  </si>
  <si>
    <t>Proveedor verificación</t>
  </si>
  <si>
    <t>Proveedor mantenimiento</t>
  </si>
  <si>
    <t>LABORATORIO 1</t>
  </si>
  <si>
    <t>LABORATORIO 2</t>
  </si>
  <si>
    <t>OPERATIVO</t>
  </si>
  <si>
    <t>Calibrado</t>
  </si>
  <si>
    <t>N/A</t>
  </si>
  <si>
    <t>No aplica</t>
  </si>
  <si>
    <t>Sin verificar</t>
  </si>
  <si>
    <t>Sin mantenimiento</t>
  </si>
  <si>
    <t>Ejecutado</t>
  </si>
  <si>
    <t>Calidad</t>
  </si>
  <si>
    <t>Regulatorio</t>
  </si>
  <si>
    <t>Uso</t>
  </si>
  <si>
    <t>Ambiente</t>
  </si>
  <si>
    <t>Estabilidad</t>
  </si>
  <si>
    <t>Clase de riesgo</t>
  </si>
  <si>
    <t>Intervalo base</t>
  </si>
  <si>
    <t>Suma criterios</t>
  </si>
  <si>
    <t>ASEGURAMIENTO</t>
  </si>
  <si>
    <t>BAJA</t>
  </si>
  <si>
    <t>Intervalo calibración (meses)</t>
  </si>
  <si>
    <t>Intervalo verificación (meses)</t>
  </si>
  <si>
    <t>Intervalo mantenimiento (meses)</t>
  </si>
  <si>
    <t>Puntaje mínimo</t>
  </si>
  <si>
    <t>Puntaje máximo</t>
  </si>
  <si>
    <t>Intervalo base (meses)</t>
  </si>
  <si>
    <t>Muy bajo</t>
  </si>
  <si>
    <t>Bajo</t>
  </si>
  <si>
    <t>Medio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</si>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</sst>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Bahnschrift Light SemiCondensed"/>
      <family val="2"/>
    </font>
    <font>
      <sz val="11"/>
      <color theme="1"/>
      <name val="Bahnschrift Light SemiCondensed"/>
      <family val="2"/>
    </font>
    <font>
      <b/>
      <sz val="10"/>
      <name val="Bahnschrift Light SemiCondensed"/>
      <family val="2"/>
    </font>
    <font>
      <sz val="10"/>
      <color theme="1"/>
      <name val="Calibri"/>
      <family val="2"/>
      <scheme val="minor"/>
    </font>
    <font>
      <sz val="10"/>
      <color theme="1"/>
      <name val="Bahnschrift Light SemiCondensed"/>
      <family val="2"/>
    </font>
    <font>
      <b/>
      <sz val="10"/>
      <color rgb="FFFF0000"/>
      <name val="Bahnschrift Light SemiCondensed"/>
      <family val="2"/>
    </font>
    <font>
      <sz val="10"/>
      <color rgb="FFFF0000"/>
      <name val="Calibri"/>
      <family val="2"/>
      <scheme val="minor"/>
    </font>
    <font>
      <sz val="10"/>
      <color rgb="FFFF0000"/>
      <name val="Bahnschrift Light SemiCondensed"/>
      <family val="2"/>
    </font>
    <font>
      <sz val="11"/>
      <color rgb="FFFF0000"/>
      <name val="Bahnschrift Light SemiCondensed"/>
      <family val="2"/>
    </font>
    <font>
      <sz val="10"/>
      <name val="Bahnschrift Light SemiCondensed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F766E"/>
      </patternFill>
    </fill>
  </fills>
  <borders count="1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Font="1"/>
    <xf numFmtId="0" fontId="5" fillId="0" borderId="8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9" xfId="0" applyFont="1" applyBorder="1" applyAlignment="1" applyProtection="1">
      <alignment horizontal="center" vertical="center" wrapText="1"/>
      <protection locked="0"/>
    </xf>
    <xf numFmtId="164" fontId="5" fillId="3" borderId="9" xfId="0" applyNumberFormat="1" applyFont="1" applyFill="1" applyBorder="1" applyAlignment="1" applyProtection="1">
      <alignment horizontal="center" vertical="center" wrapText="1"/>
      <protection locked="0"/>
    </xf>
    <xf numFmtId="2" fontId="5" fillId="0" borderId="9" xfId="0" applyNumberFormat="1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>
      <alignment horizontal="center" vertical="center" wrapText="1"/>
    </xf>
    <xf numFmtId="0" fontId="5" fillId="0" borderId="9" xfId="0" applyFont="1" applyBorder="1" applyAlignment="1" applyProtection="1">
      <alignment horizontal="left" vertical="center" wrapText="1"/>
      <protection locked="0"/>
    </xf>
    <xf numFmtId="0" fontId="5" fillId="0" borderId="7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 wrapText="1"/>
      <protection locked="0"/>
    </xf>
    <xf numFmtId="164" fontId="5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>
      <alignment horizontal="center" vertical="center" wrapText="1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7" fillId="5" borderId="9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7" fillId="2" borderId="4" xfId="0" applyFont="1" applyFill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17" fontId="7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/>
    <xf numFmtId="1" fontId="5" fillId="0" borderId="9" xfId="1" applyNumberFormat="1" applyFont="1" applyFill="1" applyBorder="1" applyAlignment="1">
      <alignment horizontal="center" vertical="center"/>
    </xf>
    <xf numFmtId="1" fontId="5" fillId="0" borderId="7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4" borderId="9" xfId="0" applyFont="1" applyFill="1" applyBorder="1" applyAlignment="1" applyProtection="1">
      <alignment horizontal="center" vertical="center" wrapText="1"/>
      <protection locked="0"/>
    </xf>
    <xf numFmtId="0" fontId="9" fillId="5" borderId="9" xfId="0" applyFont="1" applyFill="1" applyBorder="1" applyAlignment="1" applyProtection="1">
      <alignment horizontal="center" vertical="center" wrapText="1"/>
      <protection locked="0"/>
    </xf>
    <xf numFmtId="165" fontId="9" fillId="5" borderId="9" xfId="0" applyNumberFormat="1" applyFont="1" applyFill="1" applyBorder="1" applyAlignment="1" applyProtection="1">
      <alignment horizontal="center" vertical="center" wrapText="1"/>
      <protection locked="0"/>
    </xf>
    <xf numFmtId="0" fontId="10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" fillId="0" borderId="0" xfId="0" applyFont="1"/>
    <xf numFmtId="0" fontId="10" fillId="7" borderId="11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/>
    </xf>
    <xf numFmtId="2" fontId="13" fillId="0" borderId="11" xfId="0" applyNumberFormat="1" applyFont="1" applyBorder="1"/>
    <xf numFmtId="0" fontId="13" fillId="0" borderId="11" xfId="0" applyFont="1" applyBorder="1"/>
    <xf numFmtId="0" fontId="14" fillId="6" borderId="9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/>
  </cellXfs>
  <cellStyles count="2">
    <cellStyle name="Hipervínculo" xfId="1" builtinId="8"/>
    <cellStyle name="Normal" xfId="0" builtinId="0"/>
  </cellStyles>
  <dxfs count="62"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0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0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0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0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0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Bahnschrift Light SemiCondensed"/>
        <family val="2"/>
        <scheme val="none"/>
      </font>
      <fill>
        <patternFill patternType="solid">
          <fgColor indexed="64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name val="Bahnschrift Light SemiCondense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 SemiCondensed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numFmt numFmtId="164" formatCode="yyyy\-mm\-dd;@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 SemiCondensed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numFmt numFmtId="164" formatCode="yyyy\-mm\-dd;@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 SemiCondensed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numFmt numFmtId="164" formatCode="yyyy\-mm\-dd;@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indexed="64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Bahnschrift Light SemiCondense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indexed="64"/>
        </top>
        <bottom/>
      </border>
    </dxf>
    <dxf>
      <border outline="0">
        <top style="thin">
          <color indexed="64"/>
        </top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E32B38-E014-43AB-95AF-AF2654B8D398}" name="Tabla3" displayName="Tabla3" ref="A1:AD38" totalsRowShown="0" headerRowDxfId="34" dataDxfId="38" tableBorderDxfId="61">
  <autoFilter ref="A1:AD38" xr:uid="{36E32B38-E014-43AB-95AF-AF2654B8D398}"/>
  <tableColumns count="30">
    <tableColumn id="1" xr3:uid="{70AA61A2-4688-4317-B049-7CD989BBBE39}" name="Código interno" dataDxfId="60" dataCellStyle="Hipervínculo"/>
    <tableColumn id="2" xr3:uid="{08C75702-E220-48D7-8658-673AE86C8011}" name="Instrumento" dataDxfId="59" dataCellStyle="Hipervínculo">
      <calculatedColumnFormula array="1">INDIRECT("'"&amp;$B2&amp;"'!$A$6")</calculatedColumnFormula>
    </tableColumn>
    <tableColumn id="3" xr3:uid="{43212812-B929-4221-ACD5-688B7143E38F}" name="Marca" dataDxfId="58" dataCellStyle="Hipervínculo">
      <calculatedColumnFormula array="1">INDIRECT("'"&amp;$B2&amp;"'!$G$14")</calculatedColumnFormula>
    </tableColumn>
    <tableColumn id="4" xr3:uid="{07ED0CDA-9DC2-413B-8064-5438FEB56900}" name="Modelo" dataDxfId="31" dataCellStyle="Hipervínculo">
      <calculatedColumnFormula array="1">INDIRECT("'"&amp;$B2&amp;"'!$G$15")</calculatedColumnFormula>
    </tableColumn>
    <tableColumn id="5" xr3:uid="{D754018F-BBDD-4D32-A43A-0970F44A32FF}" name="N. Serial" dataDxfId="29" dataCellStyle="Hipervínculo">
      <calculatedColumnFormula array="1">INDIRECT("'"&amp;$B2&amp;"'!$G$16")</calculatedColumnFormula>
    </tableColumn>
    <tableColumn id="6" xr3:uid="{C429D487-B943-4964-B238-4C9734847289}" name="Ubicación" dataDxfId="30" dataCellStyle="Hipervínculo">
      <calculatedColumnFormula array="1">INDIRECT("'"&amp;$B2&amp;"'!$C$8")</calculatedColumnFormula>
    </tableColumn>
    <tableColumn id="7" xr3:uid="{A9627654-7263-473A-AE7B-E2328594CAD1}" name="Proceso" dataDxfId="57" dataCellStyle="Hipervínculo">
      <calculatedColumnFormula array="1">INDIRECT("'"&amp;$B2&amp;"'!$C$9")</calculatedColumnFormula>
    </tableColumn>
    <tableColumn id="8" xr3:uid="{96E4D4E6-E006-483D-9714-FF0CDEC84497}" name="Magnitud" dataDxfId="56" dataCellStyle="Hipervínculo">
      <calculatedColumnFormula array="1">INDIRECT("'"&amp;$B2&amp;"'!$G$11")</calculatedColumnFormula>
    </tableColumn>
    <tableColumn id="9" xr3:uid="{CF72A311-8E6F-4200-9516-3E2252802D6C}" name="Criticidad" dataDxfId="55" dataCellStyle="Hipervínculo">
      <calculatedColumnFormula array="1">INDIRECT("'"&amp;$B2&amp;"'!$C$11")</calculatedColumnFormula>
    </tableColumn>
    <tableColumn id="10" xr3:uid="{9838ACE0-A7F4-4405-8B53-B3A52753CE68}" name="Cap. Máxima instrumento" dataDxfId="54" dataCellStyle="Hipervínculo">
      <calculatedColumnFormula array="1">INDIRECT("'"&amp;$B2&amp;"'!$G$21")</calculatedColumnFormula>
    </tableColumn>
    <tableColumn id="32" xr3:uid="{B1503366-B577-498A-A531-692312A52569}" name="Cap. Mínima instrumento" dataDxfId="37" dataCellStyle="Hipervínculo">
      <calculatedColumnFormula array="1">INDIRECT("'"&amp;$B2&amp;"'!$G$22")</calculatedColumnFormula>
    </tableColumn>
    <tableColumn id="33" xr3:uid="{E316C4E9-7A43-4F1A-979E-98AAEF72B5B1}" name="Div. de escala" dataDxfId="36" dataCellStyle="Hipervínculo">
      <calculatedColumnFormula array="1">INDIRECT("'"&amp;$B2&amp;"'!$G$23")</calculatedColumnFormula>
    </tableColumn>
    <tableColumn id="11" xr3:uid="{5BD81E0D-EAD5-4709-AD57-4A1D38B50294}" name="Cap. Máxima proceso" dataDxfId="53"/>
    <tableColumn id="12" xr3:uid="{222167E1-EABE-4B47-AFEE-39B47A93BC02}" name="Cap. Mínima proceso" dataDxfId="52" dataCellStyle="Hipervínculo">
      <calculatedColumnFormula array="1">INDIRECT("'"&amp;$B2&amp;"'!$G$22")</calculatedColumnFormula>
    </tableColumn>
    <tableColumn id="34" xr3:uid="{8BDCC73B-5E6C-492B-A7EB-70D0BD476654}" name="Tolerancia del proceso" dataDxfId="35" dataCellStyle="Hipervínculo"/>
    <tableColumn id="35" xr3:uid="{30094F5E-021D-4A78-AA8B-3EDAA0A238CA}" name="Estado funcional" dataDxfId="33" dataCellStyle="Hipervínculo">
      <calculatedColumnFormula array="1">IFERROR(LOOKUP(2,1/((INDIRECT("'"&amp;$B2&amp;"'!$G$29:$G$45"))&lt;&gt;""),(INDIRECT("'"&amp;$B2&amp;"'!$G$29:$G$45"))),"NO DISPONIBLE")</calculatedColumnFormula>
    </tableColumn>
    <tableColumn id="14" xr3:uid="{D0A4CC0B-F0BE-4A65-97E9-E16E077135A3}" name="Intervalo calibración (meses)" dataDxfId="32" dataCellStyle="Hipervínculo">
      <calculatedColumnFormula array="1">IF(INDIRECT("'"&amp;$B2&amp;"'!$G$9")="TRIANUAL","Ta",IF(INDIRECT("'"&amp;$B2&amp;"'!$G$9")="SEMESTRAL","S",IF(INDIRECT("'"&amp;$B2&amp;"'!$G$9")="ANUAL","A",IF(INDIRECT("'"&amp;$B2&amp;"'!$G$9")="BIANUAL","B",IF(INDIRECT("'"&amp;$B2&amp;"'!$G$9")="TRIMESTRAL","T",IF(INDIRECT("'"&amp;$B2&amp;"'!$G$9")="N/A","N/A"))))))</calculatedColumnFormula>
    </tableColumn>
    <tableColumn id="15" xr3:uid="{04FA6B50-DF57-415B-85FD-F762FC2C7543}" name="Calibración actual" dataDxfId="51">
      <calculatedColumnFormula array="1">IF(IF(MAX((IFERROR((ROW(INDIRECT("'"&amp;$B2&amp;"'!$F$29:$F$45"))-ROW(INDIRECT("'"&amp;$B2&amp;"'!$F$29"))+1)/--(IF(INDIRECT("'"&amp;$B2&amp;"'!$F$29:$F$45")&lt;&gt;"",1,0)),0))-(IFERROR((ROW(INDIRECT("'"&amp;$B2&amp;"'!$F$29:$F$45"))-ROW(INDIRECT("'"&amp;$B2&amp;"'!$F$29"))+1)/--(FIND("VERIFICACIÓN: ", INDIRECT("'"&amp;$B2&amp;"'!$F$29:$F$45"))),0)))&lt;&gt;0,INDEX(INDIRECT("'"&amp;$B2&amp;"'!$A$29:$G$45"),MAX((IFERROR((ROW(INDIRECT("'"&amp;$B2&amp;"'!$F$29:$F$45"))-ROW(INDIRECT("'"&amp;$B2&amp;"'!$F$29"))+1)/--(IF(INDIRECT("'"&amp;$B2&amp;"'!$F$29:$F$45")&lt;&gt;"",1,0)),0))-(IFERROR((ROW(INDIRECT("'"&amp;$B2&amp;"'!$F$29:$F$45"))-ROW(INDIRECT("'"&amp;$B2&amp;"'!$F$29"))+1)/--(FIND("VERIFICACIÓN: ", INDIRECT("'"&amp;$B2&amp;"'!$F$29:$F$45"))),0))),1),0)&gt;IF(MAX(IFERROR((_xlfn._xlws.FILTER((ROW(INDIRECT("'"&amp;$B2&amp;"'!$E$29:$E$45"))-ROW(INDIRECT("'"&amp;$B2&amp;"'!$E$29"))+1)/--(IF(INDIRECT("'"&amp;$B2&amp;"'!$E$29:$E$45")&lt;&gt;"",1,0)), NOT(ISNUMBER(MATCH((ROW(INDIRECT("'"&amp;$B2&amp;"'!$E$29:$E$45"))-ROW(INDIRECT("'"&amp;$B2&amp;"'!$E$29"))+1)/--(IF(INDIRECT("'"&amp;$B2&amp;"'!$E$29:$E$45")&lt;&gt;"",1,0)), (ROW(INDIRECT("'"&amp;$B2&amp;"'!$E$29:$E$45"))-ROW(INDIRECT("'"&amp;$B2&amp;"'!$E$29"))+1)/--(FIND("VERIFICACIÓN: ", INDIRECT("'"&amp;$B2&amp;"'!$E$29:$E$45"))), 0))))),0))&lt;&gt;0,INDEX(INDIRECT("'"&amp;$B2&amp;"'!$A$29:$G$45"),MAX((IFERROR((ROW(INDIRECT("'"&amp;$B2&amp;"'!$E$29:$E$45"))-ROW(INDIRECT("'"&amp;$B2&amp;"'!$E$29"))+1)/--(IF(INDIRECT("'"&amp;$B2&amp;"'!$E$29:$E$45")&lt;&gt;"",1,0)),0))-(IFERROR((ROW(INDIRECT("'"&amp;$B2&amp;"'!$E$29:$E$45"))-ROW(INDIRECT("'"&amp;$B2&amp;"'!$E$29"))+1)/--(FIND("VERIFICACIÓN: ", INDIRECT("'"&amp;$B2&amp;"'!$E$29:$E$45"))),0))),1),0),IF(MAX((IFERROR((ROW(INDIRECT("'"&amp;$B2&amp;"'!$F$29:$F$45"))-ROW(INDIRECT("'"&amp;$B2&amp;"'!$F$29"))+1)/--(IF(INDIRECT("'"&amp;$B2&amp;"'!$F$29:$F$45")&lt;&gt;"",1,0)),0))-(IFERROR((ROW(INDIRECT("'"&amp;$B2&amp;"'!$F$29:$F$45"))-ROW(INDIRECT("'"&amp;$B2&amp;"'!$F$29"))+1)/--(FIND("VERIFICACIÓN: ", INDIRECT("'"&amp;$B2&amp;"'!$F$29:$F$45"))),0)))&lt;&gt;0,INDEX(INDIRECT("'"&amp;$B2&amp;"'!$A$29:$G$45"),MAX((IFERROR((ROW(INDIRECT("'"&amp;$B2&amp;"'!$F$29:$F$45"))-ROW(INDIRECT("'"&amp;$B2&amp;"'!$F$29"))+1)/--(IF(INDIRECT("'"&amp;$B2&amp;"'!$F$29:$F$45")&lt;&gt;"",1,0)),0))-(IFERROR((ROW(INDIRECT("'"&amp;$B2&amp;"'!$F$29:$F$45"))-ROW(INDIRECT("'"&amp;$B2&amp;"'!$F$29"))+1)/--(FIND("VERIFICACIÓN: ", INDIRECT("'"&amp;$B2&amp;"'!$F$29:$F$45"))),0))),1),0),IF(MAX(IFERROR((_xlfn._xlws.FILTER((ROW(INDIRECT("'"&amp;$B2&amp;"'!$E$29:$E$45"))-ROW(INDIRECT("'"&amp;$B2&amp;"'!$E$29"))+1)/--(IF(INDIRECT("'"&amp;$B2&amp;"'!$E$29:$E$45")&lt;&gt;"",1,0)), NOT(ISNUMBER(MATCH((ROW(INDIRECT("'"&amp;$B2&amp;"'!$E$29:$E$45"))-ROW(INDIRECT("'"&amp;$B2&amp;"'!$E$29"))+1)/--(IF(INDIRECT("'"&amp;$B2&amp;"'!$E$29:$E$45")&lt;&gt;"",1,0)), (ROW(INDIRECT("'"&amp;$B2&amp;"'!$E$29:$E$45"))-ROW(INDIRECT("'"&amp;$B2&amp;"'!$E$29"))+1)/--(FIND("VERIFICACIÓN: ", INDIRECT("'"&amp;$B2&amp;"'!$E$29:$E$45"))), 0))))),0))&lt;&gt;0,INDEX(INDIRECT("'"&amp;$B2&amp;"'!$A$29:$G$45"),MAX((IFERROR((ROW(INDIRECT("'"&amp;$B2&amp;"'!$E$29:$E$45"))-ROW(INDIRECT("'"&amp;$B2&amp;"'!$E$29"))+1)/--(IF(INDIRECT("'"&amp;$B2&amp;"'!$E$29:$E$45")&lt;&gt;"",1,0)),0))-(IFERROR((ROW(INDIRECT("'"&amp;$B2&amp;"'!$E$29:$E$45"))-ROW(INDIRECT("'"&amp;$B2&amp;"'!$E$29"))+1)/--(FIND("VERIFICACIÓN: ", INDIRECT("'"&amp;$B2&amp;"'!$E$29:$E$45"))),0))),1),0))</calculatedColumnFormula>
    </tableColumn>
    <tableColumn id="17" xr3:uid="{C515D956-AF6C-4A01-BB4E-CEC057CC624E}" name="Alarma Calibración" dataDxfId="50">
      <calculatedColumnFormula>IF(#REF!="No Aplica","No aplica",IF(((#REF!-$B$6)&lt;0),"Sin calibrar",IF(((#REF!-$B$6)&gt;=31),"Calibrado",IF(((#REF!-$B$6)&lt;=30),"Gestionar"))))</calculatedColumnFormula>
    </tableColumn>
    <tableColumn id="18" xr3:uid="{E8B4FADD-32D8-409B-870F-48396E567565}" name="Proveedor calibración" dataDxfId="49">
      <calculatedColumnFormula array="1">IF(IF(MAX((IFERROR((ROW(INDIRECT("'"&amp;$B2&amp;"'!$F$29:$F$45"))-ROW(INDIRECT("'"&amp;$B2&amp;"'!$F$29"))+1)/--(IF(INDIRECT("'"&amp;$B2&amp;"'!$F$29:$F$45")&lt;&gt;"",1,0)),0))-(IFERROR((ROW(INDIRECT("'"&amp;$B2&amp;"'!$F$29:$F$45"))-ROW(INDIRECT("'"&amp;$B2&amp;"'!$F$29"))+1)/--(FIND("VERIFICACIÓN: ", INDIRECT("'"&amp;$B2&amp;"'!$F$29:$F$45"))),0)))&lt;&gt;0,INDEX(INDIRECT("'"&amp;$B2&amp;"'!$A$29:$G$45"),MAX((IFERROR((ROW(INDIRECT("'"&amp;$B2&amp;"'!$F$29:$F$45"))-ROW(INDIRECT("'"&amp;$B2&amp;"'!$F$29"))+1)/--(IF(INDIRECT("'"&amp;$B2&amp;"'!$F$29:$F$45")&lt;&gt;"",1,0)),0))-(IFERROR((ROW(INDIRECT("'"&amp;$B2&amp;"'!$F$29:$F$45"))-ROW(INDIRECT("'"&amp;$B2&amp;"'!$F$29"))+1)/--(FIND("VERIFICACIÓN: ", INDIRECT("'"&amp;$B2&amp;"'!$F$29:$F$45"))),0))),1),0)&gt;IF(MAX(IFERROR((_xlfn._xlws.FILTER((ROW(INDIRECT("'"&amp;$B2&amp;"'!$E$29:$E$45"))-ROW(INDIRECT("'"&amp;$B2&amp;"'!$E$29"))+1)/--(IF(INDIRECT("'"&amp;$B2&amp;"'!$E$29:$E$45")&lt;&gt;"",1,0)), NOT(ISNUMBER(MATCH((ROW(INDIRECT("'"&amp;$B2&amp;"'!$E$29:$E$45"))-ROW(INDIRECT("'"&amp;$B2&amp;"'!$E$29"))+1)/--(IF(INDIRECT("'"&amp;$B2&amp;"'!$E$29:$E$45")&lt;&gt;"",1,0)), (ROW(INDIRECT("'"&amp;$B2&amp;"'!$E$29:$E$45"))-ROW(INDIRECT("'"&amp;$B2&amp;"'!$E$29"))+1)/--(FIND("VERIFICACIÓN: ", INDIRECT("'"&amp;$B2&amp;"'!$E$29:$E$45"))), 0))))),0))&lt;&gt;0,INDEX(INDIRECT("'"&amp;$B2&amp;"'!$A$29:$G$45"),MAX((IFERROR((ROW(INDIRECT("'"&amp;$B2&amp;"'!$E$29:$E$45"))-ROW(INDIRECT("'"&amp;$B2&amp;"'!$E$29"))+1)/--(IF(INDIRECT("'"&amp;$B2&amp;"'!$E$29:$E$45")&lt;&gt;"",1,0)),0))-(IFERROR((ROW(INDIRECT("'"&amp;$B2&amp;"'!$E$29:$E$45"))-ROW(INDIRECT("'"&amp;$B2&amp;"'!$E$29"))+1)/--(FIND("VERIFICACIÓN: ", INDIRECT("'"&amp;$B2&amp;"'!$E$29:$E$45"))),0))),1),0),IF(MAX((IFERROR((ROW(INDIRECT("'"&amp;$B2&amp;"'!$F$29:$F$45"))-ROW(INDIRECT("'"&amp;$B2&amp;"'!$F$29"))+1)/--(IF(INDIRECT("'"&amp;$B2&amp;"'!$F$29:$F$45")&lt;&gt;"",1,0)),0))-(IFERROR((ROW(INDIRECT("'"&amp;$B2&amp;"'!$F$29:$F$45"))-ROW(INDIRECT("'"&amp;$B2&amp;"'!$F$29"))+1)/--(FIND("VERIFICACIÓN: ", INDIRECT("'"&amp;$B2&amp;"'!$F$29:$F$45"))),0)))&lt;&gt;0,INDEX(INDIRECT("'"&amp;$B2&amp;"'!$A$29:$G$45"),MAX((IFERROR((ROW(INDIRECT("'"&amp;$B2&amp;"'!$F$29:$F$45"))-ROW(INDIRECT("'"&amp;$B2&amp;"'!$F$29"))+1)/--(IF(INDIRECT("'"&amp;$B2&amp;"'!$F$29:$F$45")&lt;&gt;"",1,0)),0))-(IFERROR((ROW(INDIRECT("'"&amp;$B2&amp;"'!$F$29:$F$45"))-ROW(INDIRECT("'"&amp;$B2&amp;"'!$F$29"))+1)/--(FIND("VERIFICACIÓN: ", INDIRECT("'"&amp;$B2&amp;"'!$F$29:$F$45"))),0))),6),"NO DISPONIBLE"),IF(MAX(IFERROR((_xlfn._xlws.FILTER((ROW(INDIRECT("'"&amp;$B2&amp;"'!$E$29:$E$45"))-ROW(INDIRECT("'"&amp;$B2&amp;"'!$E$29"))+1)/--(IF(INDIRECT("'"&amp;$B2&amp;"'!$E$29:$E$45")&lt;&gt;"",1,0)), NOT(ISNUMBER(MATCH((ROW(INDIRECT("'"&amp;$B2&amp;"'!$E$29:$E$45"))-ROW(INDIRECT("'"&amp;$B2&amp;"'!$E$29"))+1)/--(IF(INDIRECT("'"&amp;$B2&amp;"'!$E$29:$E$45")&lt;&gt;"",1,0)), (ROW(INDIRECT("'"&amp;$B2&amp;"'!$E$29:$E$45"))-ROW(INDIRECT("'"&amp;$B2&amp;"'!$E$29"))+1)/--(FIND("VERIFICACIÓN: ", INDIRECT("'"&amp;$B2&amp;"'!$E$29:$E$45"))), 0))))),0))&lt;&gt;0,INDEX(INDIRECT("'"&amp;$B2&amp;"'!$A$29:$G$45"),MAX((IFERROR((ROW(INDIRECT("'"&amp;$B2&amp;"'!$E$29:$E$45"))-ROW(INDIRECT("'"&amp;$B2&amp;"'!$E$29"))+1)/--(IF(INDIRECT("'"&amp;$B2&amp;"'!$E$29:$E$45")&lt;&gt;"",1,0)),0))-(IFERROR((ROW(INDIRECT("'"&amp;$B2&amp;"'!$E$29:$E$45"))-ROW(INDIRECT("'"&amp;$B2&amp;"'!$E$29"))+1)/--(FIND("VERIFICACIÓN: ", INDIRECT("'"&amp;$B2&amp;"'!$E$29:$E$45"))),0))),5),"NO DISPONIBLE"))</calculatedColumnFormula>
    </tableColumn>
    <tableColumn id="19" xr3:uid="{7FA55DD2-82F5-4BBE-8780-37E218A27EB6}" name="Intervalo verificación (meses)" dataDxfId="48" dataCellStyle="Hipervínculo">
      <calculatedColumnFormula array="1">IF(INDIRECT("'"&amp;$B2&amp;"'!$G$10")="CUATRIMESTRAL","C",IF(INDIRECT("'"&amp;$B2&amp;"'!$G$10")="SEMESTRAL","S",IF(INDIRECT("'"&amp;$B2&amp;"'!$G$10")="ANUAL","A",IF(INDIRECT("'"&amp;$B2&amp;"'!$G$10")="BIANUAL","B",IF(INDIRECT("'"&amp;$B2&amp;"'!$G$10")="TRIMESTRAL","T",IF(INDIRECT("'"&amp;$B2&amp;"'!$G$10")="N/A","N/A"))))))</calculatedColumnFormula>
    </tableColumn>
    <tableColumn id="20" xr3:uid="{B44E6C58-B539-4FAC-9F23-B89800E5EE9C}" name="Última verificación" dataDxfId="47">
      <calculatedColumnFormula array="1">IF((IFERROR(VLOOKUP(IFERROR(LOOKUP(2,1/((INDIRECT("'"&amp;$B2&amp;"'!$F$29:$F$45"))&lt;&gt;""),(INDIRECT("'"&amp;$B2&amp;"'!$F$29:$F$45"))),"NO DISPONIBLE"),CHOOSE({1,2},(INDIRECT("'"&amp;$B2&amp;"'!$F$29:$F$45")),(INDIRECT("'"&amp;$B2&amp;"'!$A$29:$A$45"))),2,0),0))&gt;(IFERROR(VLOOKUP(IFERROR(LOOKUP(2,1/((INDIRECT("'"&amp;$B2&amp;"'!$E$29:$E$45"))&lt;&gt;""),(INDIRECT("'"&amp;$B2&amp;"'!$E$29:$E$45"))),"NO DISPONIBLE"),CHOOSE({1,2},(INDIRECT("'"&amp;$B2&amp;"'!$E$29:$E$45")),(INDIRECT("'"&amp;$B2&amp;"'!$A$29:$A$45"))),2,0),0)),(IFERROR(VLOOKUP(IFERROR(LOOKUP(2,1/((INDIRECT("'"&amp;$B2&amp;"'!$F$29:$F$45"))&lt;&gt;""),(INDIRECT("'"&amp;$B2&amp;"'!$F$29:$F$45"))),"NO DISPONIBLE"),CHOOSE({1,2},(INDIRECT("'"&amp;$B2&amp;"'!$F$29:$F$45")),(INDIRECT("'"&amp;$B2&amp;"'!$A$29:$A$45"))),2,0),0)),(IFERROR(VLOOKUP(IFERROR(LOOKUP(2,1/((INDIRECT("'"&amp;$B2&amp;"'!$E$29:$E$45"))&lt;&gt;""),(INDIRECT("'"&amp;$B2&amp;"'!$E$29:$E$45"))),"NO DISPONIBLE"),CHOOSE({1,2},(INDIRECT("'"&amp;$B2&amp;"'!$E$29:$E$45")),(INDIRECT("'"&amp;$B2&amp;"'!$A$29:$A$45"))),2,0),0)))</calculatedColumnFormula>
    </tableColumn>
    <tableColumn id="22" xr3:uid="{FB0D6505-AEF3-41EE-ADF8-388D66CD46E2}" name="Alarma Verificación" dataDxfId="46">
      <calculatedColumnFormula>IF(#REF!="No Aplica","No aplica",IF(((#REF!-$B$6)&lt;0),"Sin verificar",IF(((#REF!-$B$6)&gt;=31),"Verificado",IF(((#REF!-$B$6)&lt;=20),"Gestionar"))))</calculatedColumnFormula>
    </tableColumn>
    <tableColumn id="23" xr3:uid="{0F5D8DFC-735D-4BB1-B8F6-47202A4CC263}" name="Proveedor verificación" dataDxfId="45">
      <calculatedColumnFormula array="1">IF((IFERROR(VLOOKUP(IFERROR(LOOKUP(2,1/((INDIRECT("'"&amp;$B2&amp;"'!$E$29:$E$45"))&lt;&gt;""),(INDIRECT("'"&amp;$B2&amp;"'!$E$29:$E$45"))),"NO DISPONIBLE"),CHOOSE({1,2},(INDIRECT("'"&amp;$B2&amp;"'!$E$29:$E$45")),(INDIRECT("'"&amp;$B2&amp;"'!$A$29:$A$45"))),2,0),0))&gt;(IFERROR(VLOOKUP(IFERROR(LOOKUP(2,1/((INDIRECT("'"&amp;$B2&amp;"'!$F$29:$F$45"))&lt;&gt;""),(INDIRECT("'"&amp;$B2&amp;"'!$F$29:$F$45"))),"NO DISPONIBLE"),CHOOSE({1,2},(INDIRECT("'"&amp;$B2&amp;"'!$F$29:$F$45")),(INDIRECT("'"&amp;$B2&amp;"'!$A$29:$A$45"))),2,0),0)),IFERROR(LOOKUP(2,1/((INDIRECT("'"&amp;$B2&amp;"'!$E$29:$E$45"))&lt;&gt;""),(INDIRECT("'"&amp;$B2&amp;"'!$E$29:$E$45"))),"NO DISPONIBLE"),IFERROR(LOOKUP(2,1/((INDIRECT("'"&amp;$B2&amp;"'!$F$29:$F$45"))&lt;&gt;""),(INDIRECT("'"&amp;$B2&amp;"'!$F$29:$F$45"))),"NO DISPONIBLE"))</calculatedColumnFormula>
    </tableColumn>
    <tableColumn id="24" xr3:uid="{2A7C81A0-9319-4B46-BC5D-9CB156C48C7D}" name="Intervalo mantenimiento (meses)" dataDxfId="44" dataCellStyle="Hipervínculo">
      <calculatedColumnFormula array="1">IF(INDIRECT("'"&amp;$B2&amp;"'!$G$8")="CUATRIMESTRAL","C",IF(INDIRECT("'"&amp;$B2&amp;"'!$G$8")="SEMESTRAL","S",IF(INDIRECT("'"&amp;$B2&amp;"'!$G$8")="ANUAL","A",IF(INDIRECT("'"&amp;$B2&amp;"'!$G$8")="BIANUAL","B",IF(INDIRECT("'"&amp;$B2&amp;"'!$G$8")="TRIANUAL","Ta",IF(INDIRECT("'"&amp;$B2&amp;"'!$G$8")="N/A","N/A"))))))</calculatedColumnFormula>
    </tableColumn>
    <tableColumn id="25" xr3:uid="{3B122D49-EFD0-4F4F-8448-1050352994CA}" name="Último mantenimiento" dataDxfId="43">
      <calculatedColumnFormula array="1">IF((IFERROR(VLOOKUP(IFERROR(LOOKUP(2,1/((INDIRECT("'"&amp;$B2&amp;"'!$D$29:$D$45"))&lt;&gt;""),(INDIRECT("'"&amp;$B2&amp;"'!$D$29:$D$45"))),"NO DISPONIBLE"),CHOOSE({1,2},(INDIRECT("'"&amp;$B2&amp;"'!$D$29:$D$45")),(INDIRECT("'"&amp;$B2&amp;"'!$A$29:$A$45"))),2,0),0))&gt;(IFERROR(VLOOKUP(IFERROR(LOOKUP(2,1/((INDIRECT("'"&amp;$B2&amp;"'!$C$29:$C$45"))&lt;&gt;""),(INDIRECT("'"&amp;$B2&amp;"'!$C$29:$C$45"))),"NO DISPONIBLE"),CHOOSE({1,2},(INDIRECT("'"&amp;$B2&amp;"'!$C$29:$C$45")),(INDIRECT("'"&amp;$B2&amp;"'!$A$29:$A$45"))),2,0),0)),(IFERROR(VLOOKUP(IFERROR(LOOKUP(2,1/((INDIRECT("'"&amp;$B2&amp;"'!$D$29:$D$45"))&lt;&gt;""),(INDIRECT("'"&amp;$B2&amp;"'!$D$29:$D$45"))),"NO DISPONIBLE"),CHOOSE({1,2},(INDIRECT("'"&amp;$B2&amp;"'!$D$29:$D$45")),(INDIRECT("'"&amp;$B2&amp;"'!$A$29:$A$45"))),2,0),0)),(IFERROR(VLOOKUP(IFERROR(LOOKUP(2,1/((INDIRECT("'"&amp;$B2&amp;"'!$C$29:$C$45"))&lt;&gt;""),(INDIRECT("'"&amp;$B2&amp;"'!$C$29:$C$45"))),"NO DISPONIBLE"),CHOOSE({1,2},(INDIRECT("'"&amp;$B2&amp;"'!$C$29:$C$45")),(INDIRECT("'"&amp;$B2&amp;"'!$A$29:$A$45"))),2,0),0)))</calculatedColumnFormula>
    </tableColumn>
    <tableColumn id="27" xr3:uid="{6B97F559-1AAC-4B32-BC50-ACBB5E0D4137}" name="Alarma Mantto" dataDxfId="42">
      <calculatedColumnFormula>IF(#REF!="No Aplica","No aplica",IF(((#REF!-$B$6)&lt;0),"Sin mantenimiento",IF(((#REF!-$B$6)&gt;=31),"Ejecutado",IF(((#REF!-$B$6)&lt;=30),"Gestionar"))))</calculatedColumnFormula>
    </tableColumn>
    <tableColumn id="28" xr3:uid="{914D5D31-DBC6-4B8B-8AE3-EA2F7A396ACE}" name="Proveedor mantenimiento" dataDxfId="41">
      <calculatedColumnFormula array="1">IF((IFERROR(VLOOKUP(IFERROR(LOOKUP(2,1/((INDIRECT("'"&amp;$B2&amp;"'!$C$29:$C$45"))&lt;&gt;""),(INDIRECT("'"&amp;$B2&amp;"'!$C$29:$C$45"))),"NO DISPONIBLE"),CHOOSE({1,2},(INDIRECT("'"&amp;$B2&amp;"'!$C$29:$C$45")),(INDIRECT("'"&amp;$B2&amp;"'!$A$29:$A$45"))),2,0),0))&gt;(IFERROR(VLOOKUP(IFERROR(LOOKUP(2,1/((INDIRECT("'"&amp;$B2&amp;"'!$D$29:$D$45"))&lt;&gt;""),(INDIRECT("'"&amp;$B2&amp;"'!$D$29:$D$45"))),"NO DISPONIBLE"),CHOOSE({1,2},(INDIRECT("'"&amp;$B2&amp;"'!$D$29:$D$45")),(INDIRECT("'"&amp;$B2&amp;"'!$A$29:$A$45"))),2,0),0)),IFERROR(LOOKUP(2,1/((INDIRECT("'"&amp;$B2&amp;"'!$C$29:$C$45"))&lt;&gt;""),(INDIRECT("'"&amp;$B2&amp;"'!$C$29:$C$45"))),"NO DISPONIBLE"),IFERROR(LOOKUP(2,1/((INDIRECT("'"&amp;$B2&amp;"'!$D$29:$D$45"))&lt;&gt;""),(INDIRECT("'"&amp;$B2&amp;"'!$D$29:$D$45"))),"NO DISPONIBLE"))</calculatedColumnFormula>
    </tableColumn>
    <tableColumn id="30" xr3:uid="{CC82A4E1-6E3D-40F8-9614-73E6283E9241}" name="RESPONSABLE" dataDxfId="40"/>
    <tableColumn id="31" xr3:uid="{A4BEBBE0-45B9-4B77-BEAD-BB31A322D921}" name="Observaciones" dataDxfId="39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423E-7792-41F5-AF1C-73475F6D6C7E}">
  <dimension ref="A1:AF38"/>
  <sheetViews>
    <sheetView tabSelected="1" workbookViewId="0">
      <selection activeCell="B32" sqref="B32"/>
    </sheetView>
  </sheetViews>
  <sheetFormatPr baseColWidth="10" defaultRowHeight="14.4" x14ac:dyDescent="0.3"/>
  <cols>
    <col min="1" max="1" width="17.6640625" style="1" bestFit="1" customWidth="1"/>
    <col min="2" max="2" width="32.77734375" style="1" bestFit="1" customWidth="1"/>
    <col min="3" max="3" width="20.21875" style="1" customWidth="1"/>
    <col min="4" max="4" width="16.77734375" style="1" customWidth="1"/>
    <col min="5" max="5" width="23.44140625" style="1" customWidth="1"/>
    <col min="6" max="6" width="19.77734375" style="1" customWidth="1"/>
    <col min="7" max="7" width="15.21875" style="1" customWidth="1"/>
    <col min="8" max="8" width="15.109375" style="1" bestFit="1" customWidth="1"/>
    <col min="9" max="9" width="15.6640625" style="1" bestFit="1" customWidth="1"/>
    <col min="10" max="10" width="13.44140625" style="1" bestFit="1" customWidth="1"/>
    <col min="11" max="12" width="13.44140625" style="1" customWidth="1"/>
    <col min="13" max="13" width="13.44140625" style="1" bestFit="1" customWidth="1"/>
    <col min="14" max="14" width="13" style="1" bestFit="1" customWidth="1"/>
    <col min="15" max="15" width="13" style="1" customWidth="1"/>
    <col min="16" max="16" width="19.21875" style="1" bestFit="1" customWidth="1"/>
    <col min="17" max="19" width="16" style="1" bestFit="1" customWidth="1"/>
    <col min="20" max="20" width="34" style="1" customWidth="1"/>
    <col min="21" max="22" width="15.44140625" style="1" bestFit="1" customWidth="1"/>
    <col min="23" max="23" width="15.5546875" style="1" bestFit="1" customWidth="1"/>
    <col min="24" max="24" width="33.21875" style="1" customWidth="1"/>
    <col min="25" max="26" width="15.6640625" style="1" bestFit="1" customWidth="1"/>
    <col min="27" max="27" width="19.33203125" style="1" customWidth="1"/>
    <col min="28" max="28" width="29.6640625" style="1" customWidth="1"/>
    <col min="29" max="29" width="15.77734375" style="1" bestFit="1" customWidth="1"/>
    <col min="30" max="30" width="20.33203125" style="1" customWidth="1"/>
    <col min="31" max="16384" width="11.5546875" style="1"/>
  </cols>
  <sheetData>
    <row r="1" spans="1:32" s="23" customFormat="1" ht="39.6" x14ac:dyDescent="0.3">
      <c r="A1" s="15" t="s">
        <v>55</v>
      </c>
      <c r="B1" s="16" t="s">
        <v>54</v>
      </c>
      <c r="C1" s="16" t="s">
        <v>0</v>
      </c>
      <c r="D1" s="16" t="s">
        <v>1</v>
      </c>
      <c r="E1" s="16" t="s">
        <v>2</v>
      </c>
      <c r="F1" s="15" t="s">
        <v>56</v>
      </c>
      <c r="G1" s="16" t="s">
        <v>3</v>
      </c>
      <c r="H1" s="16" t="s">
        <v>4</v>
      </c>
      <c r="I1" s="16" t="s">
        <v>5</v>
      </c>
      <c r="J1" s="15" t="s">
        <v>57</v>
      </c>
      <c r="K1" s="15" t="s">
        <v>58</v>
      </c>
      <c r="L1" s="17" t="s">
        <v>7</v>
      </c>
      <c r="M1" s="18" t="s">
        <v>6</v>
      </c>
      <c r="N1" s="15" t="s">
        <v>59</v>
      </c>
      <c r="O1" s="15" t="s">
        <v>60</v>
      </c>
      <c r="P1" s="15" t="s">
        <v>61</v>
      </c>
      <c r="Q1" s="19" t="s">
        <v>84</v>
      </c>
      <c r="R1" s="16" t="s">
        <v>9</v>
      </c>
      <c r="S1" s="16" t="s">
        <v>10</v>
      </c>
      <c r="T1" s="17" t="s">
        <v>62</v>
      </c>
      <c r="U1" s="19" t="s">
        <v>85</v>
      </c>
      <c r="V1" s="20" t="s">
        <v>11</v>
      </c>
      <c r="W1" s="16" t="s">
        <v>12</v>
      </c>
      <c r="X1" s="17" t="s">
        <v>63</v>
      </c>
      <c r="Y1" s="19" t="s">
        <v>86</v>
      </c>
      <c r="Z1" s="16" t="s">
        <v>13</v>
      </c>
      <c r="AA1" s="16" t="s">
        <v>14</v>
      </c>
      <c r="AB1" s="17" t="s">
        <v>64</v>
      </c>
      <c r="AC1" s="21" t="s">
        <v>15</v>
      </c>
      <c r="AD1" s="22" t="s">
        <v>16</v>
      </c>
      <c r="AF1" s="26"/>
    </row>
    <row r="2" spans="1:32" x14ac:dyDescent="0.3">
      <c r="A2" s="2" t="s">
        <v>17</v>
      </c>
      <c r="B2" s="2" t="str" cm="1">
        <f t="array" aca="1" ref="B2" ca="1">INDIRECT("'"&amp;$B2&amp;"'!$A$6")</f>
        <v>MASA PATRÓN</v>
      </c>
      <c r="C2" s="3" t="str" cm="1">
        <f t="array" aca="1" ref="C2" ca="1">INDIRECT("'"&amp;$B2&amp;"'!$G$14")</f>
        <v>TRUMAX</v>
      </c>
      <c r="D2" s="3" t="str" cm="1">
        <f t="array" aca="1" ref="D2" ca="1">INDIRECT("'"&amp;$B2&amp;"'!$G$15")</f>
        <v>M1</v>
      </c>
      <c r="E2" s="24" t="str" cm="1">
        <f t="array" aca="1" ref="E2" ca="1">INDIRECT("'"&amp;$B2&amp;"'!$G$16")</f>
        <v>AG210714</v>
      </c>
      <c r="F2" s="3" t="s">
        <v>65</v>
      </c>
      <c r="G2" s="3" t="s">
        <v>67</v>
      </c>
      <c r="H2" s="3" t="str" cm="1">
        <f t="array" aca="1" ref="H2" ca="1">INDIRECT("'"&amp;$B2&amp;"'!$G$11")</f>
        <v>MASA</v>
      </c>
      <c r="I2" s="3" t="s">
        <v>83</v>
      </c>
      <c r="J2" s="3" t="str" cm="1">
        <f t="array" aca="1" ref="J2" ca="1">INDIRECT("'"&amp;$B2&amp;"'!$G$21")</f>
        <v>200 g</v>
      </c>
      <c r="K2" s="3" t="str" cm="1">
        <f t="array" aca="1" ref="K2" ca="1">INDIRECT("'"&amp;$B2&amp;"'!$G$22")</f>
        <v>200 g</v>
      </c>
      <c r="L2" s="3" t="str" cm="1">
        <f t="array" aca="1" ref="L2" ca="1">INDIRECT("'"&amp;$B2&amp;"'!$G$23")</f>
        <v>N/A</v>
      </c>
      <c r="M2" s="4"/>
      <c r="N2" s="3" t="str" cm="1">
        <f t="array" aca="1" ref="N2" ca="1">INDIRECT("'"&amp;$B2&amp;"'!$G$22")</f>
        <v>200 g</v>
      </c>
      <c r="O2" s="3"/>
      <c r="P2" s="7" t="str" cm="1">
        <f t="array" aca="1" ref="P2" ca="1">IFERROR(LOOKUP(2,1/((INDIRECT("'"&amp;$B2&amp;"'!$G$29:$G$45"))&lt;&gt;""),(INDIRECT("'"&amp;$B2&amp;"'!$G$29:$G$45"))),"NO DISPONIBLE")</f>
        <v>FUNCIONAL</v>
      </c>
      <c r="Q2" s="3" t="s">
        <v>69</v>
      </c>
      <c r="R2" s="5" cm="1">
        <f t="array" aca="1" ref="R2" ca="1">IF(IF(MAX((IFERROR((ROW(INDIRECT("'"&amp;$B2&amp;"'!$F$29:$F$45"))-ROW(INDIRECT("'"&amp;$B2&amp;"'!$F$29"))+1)/--(IF(INDIRECT("'"&amp;$B2&amp;"'!$F$29:$F$45")&lt;&gt;"",1,0)),0))-(IFERROR((ROW(INDIRECT("'"&amp;$B2&amp;"'!$F$29:$F$45"))-ROW(INDIRECT("'"&amp;$B2&amp;"'!$F$29"))+1)/--(FIND("VERIFICACIÓN: ", INDIRECT("'"&amp;$B2&amp;"'!$F$29:$F$45"))),0)))&lt;&gt;0,INDEX(INDIRECT("'"&amp;$B2&amp;"'!$A$29:$G$45"),MAX((IFERROR((ROW(INDIRECT("'"&amp;$B2&amp;"'!$F$29:$F$45"))-ROW(INDIRECT("'"&amp;$B2&amp;"'!$F$29"))+1)/--(IF(INDIRECT("'"&amp;$B2&amp;"'!$F$29:$F$45")&lt;&gt;"",1,0)),0))-(IFERROR((ROW(INDIRECT("'"&amp;$B2&amp;"'!$F$29:$F$45"))-ROW(INDIRECT("'"&amp;$B2&amp;"'!$F$29"))+1)/--(FIND("VERIFICACIÓN: ", INDIRECT("'"&amp;$B2&amp;"'!$F$29:$F$45"))),0))),1),0)&gt;IF(MAX(IFERROR((_xlfn._xlws.FILTER((ROW(INDIRECT("'"&amp;$B2&amp;"'!$E$29:$E$45"))-ROW(INDIRECT("'"&amp;$B2&amp;"'!$E$29"))+1)/--(IF(INDIRECT("'"&amp;$B2&amp;"'!$E$29:$E$45")&lt;&gt;"",1,0)), NOT(ISNUMBER(MATCH((ROW(INDIRECT("'"&amp;$B2&amp;"'!$E$29:$E$45"))-ROW(INDIRECT("'"&amp;$B2&amp;"'!$E$29"))+1)/--(IF(INDIRECT("'"&amp;$B2&amp;"'!$E$29:$E$45")&lt;&gt;"",1,0)), (ROW(INDIRECT("'"&amp;$B2&amp;"'!$E$29:$E$45"))-ROW(INDIRECT("'"&amp;$B2&amp;"'!$E$29"))+1)/--(FIND("VERIFICACIÓN: ", INDIRECT("'"&amp;$B2&amp;"'!$E$29:$E$45"))), 0))))),0))&lt;&gt;0,INDEX(INDIRECT("'"&amp;$B2&amp;"'!$A$29:$G$45"),MAX((IFERROR((ROW(INDIRECT("'"&amp;$B2&amp;"'!$E$29:$E$45"))-ROW(INDIRECT("'"&amp;$B2&amp;"'!$E$29"))+1)/--(IF(INDIRECT("'"&amp;$B2&amp;"'!$E$29:$E$45")&lt;&gt;"",1,0)),0))-(IFERROR((ROW(INDIRECT("'"&amp;$B2&amp;"'!$E$29:$E$45"))-ROW(INDIRECT("'"&amp;$B2&amp;"'!$E$29"))+1)/--(FIND("VERIFICACIÓN: ", INDIRECT("'"&amp;$B2&amp;"'!$E$29:$E$45"))),0))),1),0),IF(MAX((IFERROR((ROW(INDIRECT("'"&amp;$B2&amp;"'!$F$29:$F$45"))-ROW(INDIRECT("'"&amp;$B2&amp;"'!$F$29"))+1)/--(IF(INDIRECT("'"&amp;$B2&amp;"'!$F$29:$F$45")&lt;&gt;"",1,0)),0))-(IFERROR((ROW(INDIRECT("'"&amp;$B2&amp;"'!$F$29:$F$45"))-ROW(INDIRECT("'"&amp;$B2&amp;"'!$F$29"))+1)/--(FIND("VERIFICACIÓN: ", INDIRECT("'"&amp;$B2&amp;"'!$F$29:$F$45"))),0)))&lt;&gt;0,INDEX(INDIRECT("'"&amp;$B2&amp;"'!$A$29:$G$45"),MAX((IFERROR((ROW(INDIRECT("'"&amp;$B2&amp;"'!$F$29:$F$45"))-ROW(INDIRECT("'"&amp;$B2&amp;"'!$F$29"))+1)/--(IF(INDIRECT("'"&amp;$B2&amp;"'!$F$29:$F$45")&lt;&gt;"",1,0)),0))-(IFERROR((ROW(INDIRECT("'"&amp;$B2&amp;"'!$F$29:$F$45"))-ROW(INDIRECT("'"&amp;$B2&amp;"'!$F$29"))+1)/--(FIND("VERIFICACIÓN: ", INDIRECT("'"&amp;$B2&amp;"'!$F$29:$F$45"))),0))),1),0),IF(MAX(IFERROR((_xlfn._xlws.FILTER((ROW(INDIRECT("'"&amp;$B2&amp;"'!$E$29:$E$45"))-ROW(INDIRECT("'"&amp;$B2&amp;"'!$E$29"))+1)/--(IF(INDIRECT("'"&amp;$B2&amp;"'!$E$29:$E$45")&lt;&gt;"",1,0)), NOT(ISNUMBER(MATCH((ROW(INDIRECT("'"&amp;$B2&amp;"'!$E$29:$E$45"))-ROW(INDIRECT("'"&amp;$B2&amp;"'!$E$29"))+1)/--(IF(INDIRECT("'"&amp;$B2&amp;"'!$E$29:$E$45")&lt;&gt;"",1,0)), (ROW(INDIRECT("'"&amp;$B2&amp;"'!$E$29:$E$45"))-ROW(INDIRECT("'"&amp;$B2&amp;"'!$E$29"))+1)/--(FIND("VERIFICACIÓN: ", INDIRECT("'"&amp;$B2&amp;"'!$E$29:$E$45"))), 0))))),0))&lt;&gt;0,INDEX(INDIRECT("'"&amp;$B2&amp;"'!$A$29:$G$45"),MAX((IFERROR((ROW(INDIRECT("'"&amp;$B2&amp;"'!$E$29:$E$45"))-ROW(INDIRECT("'"&amp;$B2&amp;"'!$E$29"))+1)/--(IF(INDIRECT("'"&amp;$B2&amp;"'!$E$29:$E$45")&lt;&gt;"",1,0)),0))-(IFERROR((ROW(INDIRECT("'"&amp;$B2&amp;"'!$E$29:$E$45"))-ROW(INDIRECT("'"&amp;$B2&amp;"'!$E$29"))+1)/--(FIND("VERIFICACIÓN: ", INDIRECT("'"&amp;$B2&amp;"'!$E$29:$E$45"))),0))),1),0))</f>
        <v>0</v>
      </c>
      <c r="S2" s="6" t="s">
        <v>70</v>
      </c>
      <c r="T2" s="7" t="str" cm="1">
        <f t="array" aca="1" ref="T2" ca="1">IF(IF(MAX((IFERROR((ROW(INDIRECT("'"&amp;$B2&amp;"'!$F$29:$F$45"))-ROW(INDIRECT("'"&amp;$B2&amp;"'!$F$29"))+1)/--(IF(INDIRECT("'"&amp;$B2&amp;"'!$F$29:$F$45")&lt;&gt;"",1,0)),0))-(IFERROR((ROW(INDIRECT("'"&amp;$B2&amp;"'!$F$29:$F$45"))-ROW(INDIRECT("'"&amp;$B2&amp;"'!$F$29"))+1)/--(FIND("VERIFICACIÓN: ", INDIRECT("'"&amp;$B2&amp;"'!$F$29:$F$45"))),0)))&lt;&gt;0,INDEX(INDIRECT("'"&amp;$B2&amp;"'!$A$29:$G$45"),MAX((IFERROR((ROW(INDIRECT("'"&amp;$B2&amp;"'!$F$29:$F$45"))-ROW(INDIRECT("'"&amp;$B2&amp;"'!$F$29"))+1)/--(IF(INDIRECT("'"&amp;$B2&amp;"'!$F$29:$F$45")&lt;&gt;"",1,0)),0))-(IFERROR((ROW(INDIRECT("'"&amp;$B2&amp;"'!$F$29:$F$45"))-ROW(INDIRECT("'"&amp;$B2&amp;"'!$F$29"))+1)/--(FIND("VERIFICACIÓN: ", INDIRECT("'"&amp;$B2&amp;"'!$F$29:$F$45"))),0))),1),0)&gt;IF(MAX(IFERROR((_xlfn._xlws.FILTER((ROW(INDIRECT("'"&amp;$B2&amp;"'!$E$29:$E$45"))-ROW(INDIRECT("'"&amp;$B2&amp;"'!$E$29"))+1)/--(IF(INDIRECT("'"&amp;$B2&amp;"'!$E$29:$E$45")&lt;&gt;"",1,0)), NOT(ISNUMBER(MATCH((ROW(INDIRECT("'"&amp;$B2&amp;"'!$E$29:$E$45"))-ROW(INDIRECT("'"&amp;$B2&amp;"'!$E$29"))+1)/--(IF(INDIRECT("'"&amp;$B2&amp;"'!$E$29:$E$45")&lt;&gt;"",1,0)), (ROW(INDIRECT("'"&amp;$B2&amp;"'!$E$29:$E$45"))-ROW(INDIRECT("'"&amp;$B2&amp;"'!$E$29"))+1)/--(FIND("VERIFICACIÓN: ", INDIRECT("'"&amp;$B2&amp;"'!$E$29:$E$45"))), 0))))),0))&lt;&gt;0,INDEX(INDIRECT("'"&amp;$B2&amp;"'!$A$29:$G$45"),MAX((IFERROR((ROW(INDIRECT("'"&amp;$B2&amp;"'!$E$29:$E$45"))-ROW(INDIRECT("'"&amp;$B2&amp;"'!$E$29"))+1)/--(IF(INDIRECT("'"&amp;$B2&amp;"'!$E$29:$E$45")&lt;&gt;"",1,0)),0))-(IFERROR((ROW(INDIRECT("'"&amp;$B2&amp;"'!$E$29:$E$45"))-ROW(INDIRECT("'"&amp;$B2&amp;"'!$E$29"))+1)/--(FIND("VERIFICACIÓN: ", INDIRECT("'"&amp;$B2&amp;"'!$E$29:$E$45"))),0))),1),0),IF(MAX((IFERROR((ROW(INDIRECT("'"&amp;$B2&amp;"'!$F$29:$F$45"))-ROW(INDIRECT("'"&amp;$B2&amp;"'!$F$29"))+1)/--(IF(INDIRECT("'"&amp;$B2&amp;"'!$F$29:$F$45")&lt;&gt;"",1,0)),0))-(IFERROR((ROW(INDIRECT("'"&amp;$B2&amp;"'!$F$29:$F$45"))-ROW(INDIRECT("'"&amp;$B2&amp;"'!$F$29"))+1)/--(FIND("VERIFICACIÓN: ", INDIRECT("'"&amp;$B2&amp;"'!$F$29:$F$45"))),0)))&lt;&gt;0,INDEX(INDIRECT("'"&amp;$B2&amp;"'!$A$29:$G$45"),MAX((IFERROR((ROW(INDIRECT("'"&amp;$B2&amp;"'!$F$29:$F$45"))-ROW(INDIRECT("'"&amp;$B2&amp;"'!$F$29"))+1)/--(IF(INDIRECT("'"&amp;$B2&amp;"'!$F$29:$F$45")&lt;&gt;"",1,0)),0))-(IFERROR((ROW(INDIRECT("'"&amp;$B2&amp;"'!$F$29:$F$45"))-ROW(INDIRECT("'"&amp;$B2&amp;"'!$F$29"))+1)/--(FIND("VERIFICACIÓN: ", INDIRECT("'"&amp;$B2&amp;"'!$F$29:$F$45"))),0))),6),"NO DISPONIBLE"),IF(MAX(IFERROR((_xlfn._xlws.FILTER((ROW(INDIRECT("'"&amp;$B2&amp;"'!$E$29:$E$45"))-ROW(INDIRECT("'"&amp;$B2&amp;"'!$E$29"))+1)/--(IF(INDIRECT("'"&amp;$B2&amp;"'!$E$29:$E$45")&lt;&gt;"",1,0)), NOT(ISNUMBER(MATCH((ROW(INDIRECT("'"&amp;$B2&amp;"'!$E$29:$E$45"))-ROW(INDIRECT("'"&amp;$B2&amp;"'!$E$29"))+1)/--(IF(INDIRECT("'"&amp;$B2&amp;"'!$E$29:$E$45")&lt;&gt;"",1,0)), (ROW(INDIRECT("'"&amp;$B2&amp;"'!$E$29:$E$45"))-ROW(INDIRECT("'"&amp;$B2&amp;"'!$E$29"))+1)/--(FIND("VERIFICACIÓN: ", INDIRECT("'"&amp;$B2&amp;"'!$E$29:$E$45"))), 0))))),0))&lt;&gt;0,INDEX(INDIRECT("'"&amp;$B2&amp;"'!$A$29:$G$45"),MAX((IFERROR((ROW(INDIRECT("'"&amp;$B2&amp;"'!$E$29:$E$45"))-ROW(INDIRECT("'"&amp;$B2&amp;"'!$E$29"))+1)/--(IF(INDIRECT("'"&amp;$B2&amp;"'!$E$29:$E$45")&lt;&gt;"",1,0)),0))-(IFERROR((ROW(INDIRECT("'"&amp;$B2&amp;"'!$E$29:$E$45"))-ROW(INDIRECT("'"&amp;$B2&amp;"'!$E$29"))+1)/--(FIND("VERIFICACIÓN: ", INDIRECT("'"&amp;$B2&amp;"'!$E$29:$E$45"))),0))),5),"NO DISPONIBLE"))</f>
        <v>NO DISPONIBLE</v>
      </c>
      <c r="U2" s="3" t="s">
        <v>69</v>
      </c>
      <c r="V2" s="5" cm="1">
        <f t="array" aca="1" ref="V2" ca="1">IF((IFERROR(VLOOKUP(IFERROR(LOOKUP(2,1/((INDIRECT("'"&amp;$B2&amp;"'!$F$29:$F$45"))&lt;&gt;""),(INDIRECT("'"&amp;$B2&amp;"'!$F$29:$F$45"))),"NO DISPONIBLE"),CHOOSE({1,2},(INDIRECT("'"&amp;$B2&amp;"'!$F$29:$F$45")),(INDIRECT("'"&amp;$B2&amp;"'!$A$29:$A$45"))),2,0),0))&gt;(IFERROR(VLOOKUP(IFERROR(LOOKUP(2,1/((INDIRECT("'"&amp;$B2&amp;"'!$E$29:$E$45"))&lt;&gt;""),(INDIRECT("'"&amp;$B2&amp;"'!$E$29:$E$45"))),"NO DISPONIBLE"),CHOOSE({1,2},(INDIRECT("'"&amp;$B2&amp;"'!$E$29:$E$45")),(INDIRECT("'"&amp;$B2&amp;"'!$A$29:$A$45"))),2,0),0)),(IFERROR(VLOOKUP(IFERROR(LOOKUP(2,1/((INDIRECT("'"&amp;$B2&amp;"'!$F$29:$F$45"))&lt;&gt;""),(INDIRECT("'"&amp;$B2&amp;"'!$F$29:$F$45"))),"NO DISPONIBLE"),CHOOSE({1,2},(INDIRECT("'"&amp;$B2&amp;"'!$F$29:$F$45")),(INDIRECT("'"&amp;$B2&amp;"'!$A$29:$A$45"))),2,0),0)),(IFERROR(VLOOKUP(IFERROR(LOOKUP(2,1/((INDIRECT("'"&amp;$B2&amp;"'!$E$29:$E$45"))&lt;&gt;""),(INDIRECT("'"&amp;$B2&amp;"'!$E$29:$E$45"))),"NO DISPONIBLE"),CHOOSE({1,2},(INDIRECT("'"&amp;$B2&amp;"'!$E$29:$E$45")),(INDIRECT("'"&amp;$B2&amp;"'!$A$29:$A$45"))),2,0),0)))</f>
        <v>0</v>
      </c>
      <c r="W2" s="6" t="s">
        <v>70</v>
      </c>
      <c r="X2" s="7" t="str" cm="1">
        <f t="array" aca="1" ref="X2" ca="1">IF((IFERROR(VLOOKUP(IFERROR(LOOKUP(2,1/((INDIRECT("'"&amp;$B2&amp;"'!$E$29:$E$45"))&lt;&gt;""),(INDIRECT("'"&amp;$B2&amp;"'!$E$29:$E$45"))),"NO DISPONIBLE"),CHOOSE({1,2},(INDIRECT("'"&amp;$B2&amp;"'!$E$29:$E$45")),(INDIRECT("'"&amp;$B2&amp;"'!$A$29:$A$45"))),2,0),0))&gt;(IFERROR(VLOOKUP(IFERROR(LOOKUP(2,1/((INDIRECT("'"&amp;$B2&amp;"'!$F$29:$F$45"))&lt;&gt;""),(INDIRECT("'"&amp;$B2&amp;"'!$F$29:$F$45"))),"NO DISPONIBLE"),CHOOSE({1,2},(INDIRECT("'"&amp;$B2&amp;"'!$F$29:$F$45")),(INDIRECT("'"&amp;$B2&amp;"'!$A$29:$A$45"))),2,0),0)),IFERROR(LOOKUP(2,1/((INDIRECT("'"&amp;$B2&amp;"'!$E$29:$E$45"))&lt;&gt;""),(INDIRECT("'"&amp;$B2&amp;"'!$E$29:$E$45"))),"NO DISPONIBLE"),IFERROR(LOOKUP(2,1/((INDIRECT("'"&amp;$B2&amp;"'!$F$29:$F$45"))&lt;&gt;""),(INDIRECT("'"&amp;$B2&amp;"'!$F$29:$F$45"))),"NO DISPONIBLE"))</f>
        <v>NO DISPONIBLE</v>
      </c>
      <c r="Y2" s="3" t="s">
        <v>69</v>
      </c>
      <c r="Z2" s="5" cm="1">
        <f t="array" aca="1" ref="Z2" ca="1">IF((IFERROR(VLOOKUP(IFERROR(LOOKUP(2,1/((INDIRECT("'"&amp;$B2&amp;"'!$D$29:$D$45"))&lt;&gt;""),(INDIRECT("'"&amp;$B2&amp;"'!$D$29:$D$45"))),"NO DISPONIBLE"),CHOOSE({1,2},(INDIRECT("'"&amp;$B2&amp;"'!$D$29:$D$45")),(INDIRECT("'"&amp;$B2&amp;"'!$A$29:$A$45"))),2,0),0))&gt;(IFERROR(VLOOKUP(IFERROR(LOOKUP(2,1/((INDIRECT("'"&amp;$B2&amp;"'!$C$29:$C$45"))&lt;&gt;""),(INDIRECT("'"&amp;$B2&amp;"'!$C$29:$C$45"))),"NO DISPONIBLE"),CHOOSE({1,2},(INDIRECT("'"&amp;$B2&amp;"'!$C$29:$C$45")),(INDIRECT("'"&amp;$B2&amp;"'!$A$29:$A$45"))),2,0),0)),(IFERROR(VLOOKUP(IFERROR(LOOKUP(2,1/((INDIRECT("'"&amp;$B2&amp;"'!$D$29:$D$45"))&lt;&gt;""),(INDIRECT("'"&amp;$B2&amp;"'!$D$29:$D$45"))),"NO DISPONIBLE"),CHOOSE({1,2},(INDIRECT("'"&amp;$B2&amp;"'!$D$29:$D$45")),(INDIRECT("'"&amp;$B2&amp;"'!$A$29:$A$45"))),2,0),0)),(IFERROR(VLOOKUP(IFERROR(LOOKUP(2,1/((INDIRECT("'"&amp;$B2&amp;"'!$C$29:$C$45"))&lt;&gt;""),(INDIRECT("'"&amp;$B2&amp;"'!$C$29:$C$45"))),"NO DISPONIBLE"),CHOOSE({1,2},(INDIRECT("'"&amp;$B2&amp;"'!$C$29:$C$45")),(INDIRECT("'"&amp;$B2&amp;"'!$A$29:$A$45"))),2,0),0)))</f>
        <v>0</v>
      </c>
      <c r="AA2" s="6" t="s">
        <v>70</v>
      </c>
      <c r="AB2" s="7" t="str" cm="1">
        <f t="array" aca="1" ref="AB2" ca="1">IF((IFERROR(VLOOKUP(IFERROR(LOOKUP(2,1/((INDIRECT("'"&amp;$B2&amp;"'!$C$29:$C$45"))&lt;&gt;""),(INDIRECT("'"&amp;$B2&amp;"'!$C$29:$C$45"))),"NO DISPONIBLE"),CHOOSE({1,2},(INDIRECT("'"&amp;$B2&amp;"'!$C$29:$C$45")),(INDIRECT("'"&amp;$B2&amp;"'!$A$29:$A$45"))),2,0),0))&gt;(IFERROR(VLOOKUP(IFERROR(LOOKUP(2,1/((INDIRECT("'"&amp;$B2&amp;"'!$D$29:$D$45"))&lt;&gt;""),(INDIRECT("'"&amp;$B2&amp;"'!$D$29:$D$45"))),"NO DISPONIBLE"),CHOOSE({1,2},(INDIRECT("'"&amp;$B2&amp;"'!$D$29:$D$45")),(INDIRECT("'"&amp;$B2&amp;"'!$A$29:$A$45"))),2,0),0)),IFERROR(LOOKUP(2,1/((INDIRECT("'"&amp;$B2&amp;"'!$C$29:$C$45"))&lt;&gt;""),(INDIRECT("'"&amp;$B2&amp;"'!$C$29:$C$45"))),"NO DISPONIBLE"),IFERROR(LOOKUP(2,1/((INDIRECT("'"&amp;$B2&amp;"'!$D$29:$D$45"))&lt;&gt;""),(INDIRECT("'"&amp;$B2&amp;"'!$D$29:$D$45"))),"NO DISPONIBLE"))</f>
        <v>NO DISPONIBLE</v>
      </c>
      <c r="AC2" s="6" t="s">
        <v>82</v>
      </c>
      <c r="AD2" s="8"/>
      <c r="AF2" s="27"/>
    </row>
    <row r="3" spans="1:32" x14ac:dyDescent="0.3">
      <c r="A3" s="2" t="s">
        <v>18</v>
      </c>
      <c r="B3" s="2" t="str" cm="1">
        <f t="array" aca="1" ref="B3" ca="1">INDIRECT("'"&amp;$B3&amp;"'!$A$6")</f>
        <v>MASA PATRÓN</v>
      </c>
      <c r="C3" s="3" t="str" cm="1">
        <f t="array" aca="1" ref="C3" ca="1">INDIRECT("'"&amp;$B3&amp;"'!$G$14")</f>
        <v>TRUMAX</v>
      </c>
      <c r="D3" s="3" t="str" cm="1">
        <f t="array" aca="1" ref="D3" ca="1">INDIRECT("'"&amp;$B3&amp;"'!$G$15")</f>
        <v>M1</v>
      </c>
      <c r="E3" s="24" t="str" cm="1">
        <f t="array" aca="1" ref="E3" ca="1">INDIRECT("'"&amp;$B3&amp;"'!$G$16")</f>
        <v>AG210688</v>
      </c>
      <c r="F3" s="3" t="s">
        <v>65</v>
      </c>
      <c r="G3" s="3" t="s">
        <v>67</v>
      </c>
      <c r="H3" s="3" t="str" cm="1">
        <f t="array" aca="1" ref="H3" ca="1">INDIRECT("'"&amp;$B3&amp;"'!$G$11")</f>
        <v>MASA</v>
      </c>
      <c r="I3" s="3" t="s">
        <v>83</v>
      </c>
      <c r="J3" s="3" t="str" cm="1">
        <f t="array" aca="1" ref="J3" ca="1">INDIRECT("'"&amp;$B3&amp;"'!$G$21")</f>
        <v>100 g</v>
      </c>
      <c r="K3" s="3" t="str" cm="1">
        <f t="array" aca="1" ref="K3" ca="1">INDIRECT("'"&amp;$B3&amp;"'!$G$22")</f>
        <v>100 g</v>
      </c>
      <c r="L3" s="3" t="str" cm="1">
        <f t="array" aca="1" ref="L3" ca="1">INDIRECT("'"&amp;$B3&amp;"'!$G$23")</f>
        <v>N/A</v>
      </c>
      <c r="M3" s="4"/>
      <c r="N3" s="3" t="str" cm="1">
        <f t="array" aca="1" ref="N3" ca="1">INDIRECT("'"&amp;$B3&amp;"'!$G$22")</f>
        <v>100 g</v>
      </c>
      <c r="O3" s="3"/>
      <c r="P3" s="7" t="str" cm="1">
        <f t="array" aca="1" ref="P3" ca="1">IFERROR(LOOKUP(2,1/((INDIRECT("'"&amp;$B3&amp;"'!$G$29:$G$45"))&lt;&gt;""),(INDIRECT("'"&amp;$B3&amp;"'!$G$29:$G$45"))),"NO DISPONIBLE")</f>
        <v>FUNCIONAL</v>
      </c>
      <c r="Q3" s="3" t="s">
        <v>69</v>
      </c>
      <c r="R3" s="5" cm="1">
        <f t="array" aca="1" ref="R3" ca="1">IF(IF(MAX((IFERROR((ROW(INDIRECT("'"&amp;$B3&amp;"'!$F$29:$F$45"))-ROW(INDIRECT("'"&amp;$B3&amp;"'!$F$29"))+1)/--(IF(INDIRECT("'"&amp;$B3&amp;"'!$F$29:$F$45")&lt;&gt;"",1,0)),0))-(IFERROR((ROW(INDIRECT("'"&amp;$B3&amp;"'!$F$29:$F$45"))-ROW(INDIRECT("'"&amp;$B3&amp;"'!$F$29"))+1)/--(FIND("VERIFICACIÓN: ", INDIRECT("'"&amp;$B3&amp;"'!$F$29:$F$45"))),0)))&lt;&gt;0,INDEX(INDIRECT("'"&amp;$B3&amp;"'!$A$29:$G$45"),MAX((IFERROR((ROW(INDIRECT("'"&amp;$B3&amp;"'!$F$29:$F$45"))-ROW(INDIRECT("'"&amp;$B3&amp;"'!$F$29"))+1)/--(IF(INDIRECT("'"&amp;$B3&amp;"'!$F$29:$F$45")&lt;&gt;"",1,0)),0))-(IFERROR((ROW(INDIRECT("'"&amp;$B3&amp;"'!$F$29:$F$45"))-ROW(INDIRECT("'"&amp;$B3&amp;"'!$F$29"))+1)/--(FIND("VERIFICACIÓN: ", INDIRECT("'"&amp;$B3&amp;"'!$F$29:$F$45"))),0))),1),0)&gt;IF(MAX(IFERROR((_xlfn._xlws.FILTER((ROW(INDIRECT("'"&amp;$B3&amp;"'!$E$29:$E$45"))-ROW(INDIRECT("'"&amp;$B3&amp;"'!$E$29"))+1)/--(IF(INDIRECT("'"&amp;$B3&amp;"'!$E$29:$E$45")&lt;&gt;"",1,0)), NOT(ISNUMBER(MATCH((ROW(INDIRECT("'"&amp;$B3&amp;"'!$E$29:$E$45"))-ROW(INDIRECT("'"&amp;$B3&amp;"'!$E$29"))+1)/--(IF(INDIRECT("'"&amp;$B3&amp;"'!$E$29:$E$45")&lt;&gt;"",1,0)), (ROW(INDIRECT("'"&amp;$B3&amp;"'!$E$29:$E$45"))-ROW(INDIRECT("'"&amp;$B3&amp;"'!$E$29"))+1)/--(FIND("VERIFICACIÓN: ", INDIRECT("'"&amp;$B3&amp;"'!$E$29:$E$45"))), 0))))),0))&lt;&gt;0,INDEX(INDIRECT("'"&amp;$B3&amp;"'!$A$29:$G$45"),MAX((IFERROR((ROW(INDIRECT("'"&amp;$B3&amp;"'!$E$29:$E$45"))-ROW(INDIRECT("'"&amp;$B3&amp;"'!$E$29"))+1)/--(IF(INDIRECT("'"&amp;$B3&amp;"'!$E$29:$E$45")&lt;&gt;"",1,0)),0))-(IFERROR((ROW(INDIRECT("'"&amp;$B3&amp;"'!$E$29:$E$45"))-ROW(INDIRECT("'"&amp;$B3&amp;"'!$E$29"))+1)/--(FIND("VERIFICACIÓN: ", INDIRECT("'"&amp;$B3&amp;"'!$E$29:$E$45"))),0))),1),0),IF(MAX((IFERROR((ROW(INDIRECT("'"&amp;$B3&amp;"'!$F$29:$F$45"))-ROW(INDIRECT("'"&amp;$B3&amp;"'!$F$29"))+1)/--(IF(INDIRECT("'"&amp;$B3&amp;"'!$F$29:$F$45")&lt;&gt;"",1,0)),0))-(IFERROR((ROW(INDIRECT("'"&amp;$B3&amp;"'!$F$29:$F$45"))-ROW(INDIRECT("'"&amp;$B3&amp;"'!$F$29"))+1)/--(FIND("VERIFICACIÓN: ", INDIRECT("'"&amp;$B3&amp;"'!$F$29:$F$45"))),0)))&lt;&gt;0,INDEX(INDIRECT("'"&amp;$B3&amp;"'!$A$29:$G$45"),MAX((IFERROR((ROW(INDIRECT("'"&amp;$B3&amp;"'!$F$29:$F$45"))-ROW(INDIRECT("'"&amp;$B3&amp;"'!$F$29"))+1)/--(IF(INDIRECT("'"&amp;$B3&amp;"'!$F$29:$F$45")&lt;&gt;"",1,0)),0))-(IFERROR((ROW(INDIRECT("'"&amp;$B3&amp;"'!$F$29:$F$45"))-ROW(INDIRECT("'"&amp;$B3&amp;"'!$F$29"))+1)/--(FIND("VERIFICACIÓN: ", INDIRECT("'"&amp;$B3&amp;"'!$F$29:$F$45"))),0))),1),0),IF(MAX(IFERROR((_xlfn._xlws.FILTER((ROW(INDIRECT("'"&amp;$B3&amp;"'!$E$29:$E$45"))-ROW(INDIRECT("'"&amp;$B3&amp;"'!$E$29"))+1)/--(IF(INDIRECT("'"&amp;$B3&amp;"'!$E$29:$E$45")&lt;&gt;"",1,0)), NOT(ISNUMBER(MATCH((ROW(INDIRECT("'"&amp;$B3&amp;"'!$E$29:$E$45"))-ROW(INDIRECT("'"&amp;$B3&amp;"'!$E$29"))+1)/--(IF(INDIRECT("'"&amp;$B3&amp;"'!$E$29:$E$45")&lt;&gt;"",1,0)), (ROW(INDIRECT("'"&amp;$B3&amp;"'!$E$29:$E$45"))-ROW(INDIRECT("'"&amp;$B3&amp;"'!$E$29"))+1)/--(FIND("VERIFICACIÓN: ", INDIRECT("'"&amp;$B3&amp;"'!$E$29:$E$45"))), 0))))),0))&lt;&gt;0,INDEX(INDIRECT("'"&amp;$B3&amp;"'!$A$29:$G$45"),MAX((IFERROR((ROW(INDIRECT("'"&amp;$B3&amp;"'!$E$29:$E$45"))-ROW(INDIRECT("'"&amp;$B3&amp;"'!$E$29"))+1)/--(IF(INDIRECT("'"&amp;$B3&amp;"'!$E$29:$E$45")&lt;&gt;"",1,0)),0))-(IFERROR((ROW(INDIRECT("'"&amp;$B3&amp;"'!$E$29:$E$45"))-ROW(INDIRECT("'"&amp;$B3&amp;"'!$E$29"))+1)/--(FIND("VERIFICACIÓN: ", INDIRECT("'"&amp;$B3&amp;"'!$E$29:$E$45"))),0))),1),0))</f>
        <v>0</v>
      </c>
      <c r="S3" s="6" t="s">
        <v>70</v>
      </c>
      <c r="T3" s="7" t="str" cm="1">
        <f t="array" aca="1" ref="T3" ca="1">IF(IF(MAX((IFERROR((ROW(INDIRECT("'"&amp;$B3&amp;"'!$F$29:$F$45"))-ROW(INDIRECT("'"&amp;$B3&amp;"'!$F$29"))+1)/--(IF(INDIRECT("'"&amp;$B3&amp;"'!$F$29:$F$45")&lt;&gt;"",1,0)),0))-(IFERROR((ROW(INDIRECT("'"&amp;$B3&amp;"'!$F$29:$F$45"))-ROW(INDIRECT("'"&amp;$B3&amp;"'!$F$29"))+1)/--(FIND("VERIFICACIÓN: ", INDIRECT("'"&amp;$B3&amp;"'!$F$29:$F$45"))),0)))&lt;&gt;0,INDEX(INDIRECT("'"&amp;$B3&amp;"'!$A$29:$G$45"),MAX((IFERROR((ROW(INDIRECT("'"&amp;$B3&amp;"'!$F$29:$F$45"))-ROW(INDIRECT("'"&amp;$B3&amp;"'!$F$29"))+1)/--(IF(INDIRECT("'"&amp;$B3&amp;"'!$F$29:$F$45")&lt;&gt;"",1,0)),0))-(IFERROR((ROW(INDIRECT("'"&amp;$B3&amp;"'!$F$29:$F$45"))-ROW(INDIRECT("'"&amp;$B3&amp;"'!$F$29"))+1)/--(FIND("VERIFICACIÓN: ", INDIRECT("'"&amp;$B3&amp;"'!$F$29:$F$45"))),0))),1),0)&gt;IF(MAX(IFERROR((_xlfn._xlws.FILTER((ROW(INDIRECT("'"&amp;$B3&amp;"'!$E$29:$E$45"))-ROW(INDIRECT("'"&amp;$B3&amp;"'!$E$29"))+1)/--(IF(INDIRECT("'"&amp;$B3&amp;"'!$E$29:$E$45")&lt;&gt;"",1,0)), NOT(ISNUMBER(MATCH((ROW(INDIRECT("'"&amp;$B3&amp;"'!$E$29:$E$45"))-ROW(INDIRECT("'"&amp;$B3&amp;"'!$E$29"))+1)/--(IF(INDIRECT("'"&amp;$B3&amp;"'!$E$29:$E$45")&lt;&gt;"",1,0)), (ROW(INDIRECT("'"&amp;$B3&amp;"'!$E$29:$E$45"))-ROW(INDIRECT("'"&amp;$B3&amp;"'!$E$29"))+1)/--(FIND("VERIFICACIÓN: ", INDIRECT("'"&amp;$B3&amp;"'!$E$29:$E$45"))), 0))))),0))&lt;&gt;0,INDEX(INDIRECT("'"&amp;$B3&amp;"'!$A$29:$G$45"),MAX((IFERROR((ROW(INDIRECT("'"&amp;$B3&amp;"'!$E$29:$E$45"))-ROW(INDIRECT("'"&amp;$B3&amp;"'!$E$29"))+1)/--(IF(INDIRECT("'"&amp;$B3&amp;"'!$E$29:$E$45")&lt;&gt;"",1,0)),0))-(IFERROR((ROW(INDIRECT("'"&amp;$B3&amp;"'!$E$29:$E$45"))-ROW(INDIRECT("'"&amp;$B3&amp;"'!$E$29"))+1)/--(FIND("VERIFICACIÓN: ", INDIRECT("'"&amp;$B3&amp;"'!$E$29:$E$45"))),0))),1),0),IF(MAX((IFERROR((ROW(INDIRECT("'"&amp;$B3&amp;"'!$F$29:$F$45"))-ROW(INDIRECT("'"&amp;$B3&amp;"'!$F$29"))+1)/--(IF(INDIRECT("'"&amp;$B3&amp;"'!$F$29:$F$45")&lt;&gt;"",1,0)),0))-(IFERROR((ROW(INDIRECT("'"&amp;$B3&amp;"'!$F$29:$F$45"))-ROW(INDIRECT("'"&amp;$B3&amp;"'!$F$29"))+1)/--(FIND("VERIFICACIÓN: ", INDIRECT("'"&amp;$B3&amp;"'!$F$29:$F$45"))),0)))&lt;&gt;0,INDEX(INDIRECT("'"&amp;$B3&amp;"'!$A$29:$G$45"),MAX((IFERROR((ROW(INDIRECT("'"&amp;$B3&amp;"'!$F$29:$F$45"))-ROW(INDIRECT("'"&amp;$B3&amp;"'!$F$29"))+1)/--(IF(INDIRECT("'"&amp;$B3&amp;"'!$F$29:$F$45")&lt;&gt;"",1,0)),0))-(IFERROR((ROW(INDIRECT("'"&amp;$B3&amp;"'!$F$29:$F$45"))-ROW(INDIRECT("'"&amp;$B3&amp;"'!$F$29"))+1)/--(FIND("VERIFICACIÓN: ", INDIRECT("'"&amp;$B3&amp;"'!$F$29:$F$45"))),0))),6),"NO DISPONIBLE"),IF(MAX(IFERROR((_xlfn._xlws.FILTER((ROW(INDIRECT("'"&amp;$B3&amp;"'!$E$29:$E$45"))-ROW(INDIRECT("'"&amp;$B3&amp;"'!$E$29"))+1)/--(IF(INDIRECT("'"&amp;$B3&amp;"'!$E$29:$E$45")&lt;&gt;"",1,0)), NOT(ISNUMBER(MATCH((ROW(INDIRECT("'"&amp;$B3&amp;"'!$E$29:$E$45"))-ROW(INDIRECT("'"&amp;$B3&amp;"'!$E$29"))+1)/--(IF(INDIRECT("'"&amp;$B3&amp;"'!$E$29:$E$45")&lt;&gt;"",1,0)), (ROW(INDIRECT("'"&amp;$B3&amp;"'!$E$29:$E$45"))-ROW(INDIRECT("'"&amp;$B3&amp;"'!$E$29"))+1)/--(FIND("VERIFICACIÓN: ", INDIRECT("'"&amp;$B3&amp;"'!$E$29:$E$45"))), 0))))),0))&lt;&gt;0,INDEX(INDIRECT("'"&amp;$B3&amp;"'!$A$29:$G$45"),MAX((IFERROR((ROW(INDIRECT("'"&amp;$B3&amp;"'!$E$29:$E$45"))-ROW(INDIRECT("'"&amp;$B3&amp;"'!$E$29"))+1)/--(IF(INDIRECT("'"&amp;$B3&amp;"'!$E$29:$E$45")&lt;&gt;"",1,0)),0))-(IFERROR((ROW(INDIRECT("'"&amp;$B3&amp;"'!$E$29:$E$45"))-ROW(INDIRECT("'"&amp;$B3&amp;"'!$E$29"))+1)/--(FIND("VERIFICACIÓN: ", INDIRECT("'"&amp;$B3&amp;"'!$E$29:$E$45"))),0))),5),"NO DISPONIBLE"))</f>
        <v>NO DISPONIBLE</v>
      </c>
      <c r="U3" s="3" t="s">
        <v>69</v>
      </c>
      <c r="V3" s="5" cm="1">
        <f t="array" aca="1" ref="V3" ca="1">IF((IFERROR(VLOOKUP(IFERROR(LOOKUP(2,1/((INDIRECT("'"&amp;$B3&amp;"'!$F$29:$F$45"))&lt;&gt;""),(INDIRECT("'"&amp;$B3&amp;"'!$F$29:$F$45"))),"NO DISPONIBLE"),CHOOSE({1,2},(INDIRECT("'"&amp;$B3&amp;"'!$F$29:$F$45")),(INDIRECT("'"&amp;$B3&amp;"'!$A$29:$A$45"))),2,0),0))&gt;(IFERROR(VLOOKUP(IFERROR(LOOKUP(2,1/((INDIRECT("'"&amp;$B3&amp;"'!$E$29:$E$45"))&lt;&gt;""),(INDIRECT("'"&amp;$B3&amp;"'!$E$29:$E$45"))),"NO DISPONIBLE"),CHOOSE({1,2},(INDIRECT("'"&amp;$B3&amp;"'!$E$29:$E$45")),(INDIRECT("'"&amp;$B3&amp;"'!$A$29:$A$45"))),2,0),0)),(IFERROR(VLOOKUP(IFERROR(LOOKUP(2,1/((INDIRECT("'"&amp;$B3&amp;"'!$F$29:$F$45"))&lt;&gt;""),(INDIRECT("'"&amp;$B3&amp;"'!$F$29:$F$45"))),"NO DISPONIBLE"),CHOOSE({1,2},(INDIRECT("'"&amp;$B3&amp;"'!$F$29:$F$45")),(INDIRECT("'"&amp;$B3&amp;"'!$A$29:$A$45"))),2,0),0)),(IFERROR(VLOOKUP(IFERROR(LOOKUP(2,1/((INDIRECT("'"&amp;$B3&amp;"'!$E$29:$E$45"))&lt;&gt;""),(INDIRECT("'"&amp;$B3&amp;"'!$E$29:$E$45"))),"NO DISPONIBLE"),CHOOSE({1,2},(INDIRECT("'"&amp;$B3&amp;"'!$E$29:$E$45")),(INDIRECT("'"&amp;$B3&amp;"'!$A$29:$A$45"))),2,0),0)))</f>
        <v>0</v>
      </c>
      <c r="W3" s="6" t="s">
        <v>70</v>
      </c>
      <c r="X3" s="7" t="str" cm="1">
        <f t="array" aca="1" ref="X3" ca="1">IF((IFERROR(VLOOKUP(IFERROR(LOOKUP(2,1/((INDIRECT("'"&amp;$B3&amp;"'!$E$29:$E$45"))&lt;&gt;""),(INDIRECT("'"&amp;$B3&amp;"'!$E$29:$E$45"))),"NO DISPONIBLE"),CHOOSE({1,2},(INDIRECT("'"&amp;$B3&amp;"'!$E$29:$E$45")),(INDIRECT("'"&amp;$B3&amp;"'!$A$29:$A$45"))),2,0),0))&gt;(IFERROR(VLOOKUP(IFERROR(LOOKUP(2,1/((INDIRECT("'"&amp;$B3&amp;"'!$F$29:$F$45"))&lt;&gt;""),(INDIRECT("'"&amp;$B3&amp;"'!$F$29:$F$45"))),"NO DISPONIBLE"),CHOOSE({1,2},(INDIRECT("'"&amp;$B3&amp;"'!$F$29:$F$45")),(INDIRECT("'"&amp;$B3&amp;"'!$A$29:$A$45"))),2,0),0)),IFERROR(LOOKUP(2,1/((INDIRECT("'"&amp;$B3&amp;"'!$E$29:$E$45"))&lt;&gt;""),(INDIRECT("'"&amp;$B3&amp;"'!$E$29:$E$45"))),"NO DISPONIBLE"),IFERROR(LOOKUP(2,1/((INDIRECT("'"&amp;$B3&amp;"'!$F$29:$F$45"))&lt;&gt;""),(INDIRECT("'"&amp;$B3&amp;"'!$F$29:$F$45"))),"NO DISPONIBLE"))</f>
        <v>NO DISPONIBLE</v>
      </c>
      <c r="Y3" s="3" t="s">
        <v>69</v>
      </c>
      <c r="Z3" s="5" cm="1">
        <f t="array" aca="1" ref="Z3" ca="1">IF((IFERROR(VLOOKUP(IFERROR(LOOKUP(2,1/((INDIRECT("'"&amp;$B3&amp;"'!$D$29:$D$45"))&lt;&gt;""),(INDIRECT("'"&amp;$B3&amp;"'!$D$29:$D$45"))),"NO DISPONIBLE"),CHOOSE({1,2},(INDIRECT("'"&amp;$B3&amp;"'!$D$29:$D$45")),(INDIRECT("'"&amp;$B3&amp;"'!$A$29:$A$45"))),2,0),0))&gt;(IFERROR(VLOOKUP(IFERROR(LOOKUP(2,1/((INDIRECT("'"&amp;$B3&amp;"'!$C$29:$C$45"))&lt;&gt;""),(INDIRECT("'"&amp;$B3&amp;"'!$C$29:$C$45"))),"NO DISPONIBLE"),CHOOSE({1,2},(INDIRECT("'"&amp;$B3&amp;"'!$C$29:$C$45")),(INDIRECT("'"&amp;$B3&amp;"'!$A$29:$A$45"))),2,0),0)),(IFERROR(VLOOKUP(IFERROR(LOOKUP(2,1/((INDIRECT("'"&amp;$B3&amp;"'!$D$29:$D$45"))&lt;&gt;""),(INDIRECT("'"&amp;$B3&amp;"'!$D$29:$D$45"))),"NO DISPONIBLE"),CHOOSE({1,2},(INDIRECT("'"&amp;$B3&amp;"'!$D$29:$D$45")),(INDIRECT("'"&amp;$B3&amp;"'!$A$29:$A$45"))),2,0),0)),(IFERROR(VLOOKUP(IFERROR(LOOKUP(2,1/((INDIRECT("'"&amp;$B3&amp;"'!$C$29:$C$45"))&lt;&gt;""),(INDIRECT("'"&amp;$B3&amp;"'!$C$29:$C$45"))),"NO DISPONIBLE"),CHOOSE({1,2},(INDIRECT("'"&amp;$B3&amp;"'!$C$29:$C$45")),(INDIRECT("'"&amp;$B3&amp;"'!$A$29:$A$45"))),2,0),0)))</f>
        <v>0</v>
      </c>
      <c r="AA3" s="6" t="s">
        <v>70</v>
      </c>
      <c r="AB3" s="7" t="str" cm="1">
        <f t="array" aca="1" ref="AB3" ca="1">IF((IFERROR(VLOOKUP(IFERROR(LOOKUP(2,1/((INDIRECT("'"&amp;$B3&amp;"'!$C$29:$C$45"))&lt;&gt;""),(INDIRECT("'"&amp;$B3&amp;"'!$C$29:$C$45"))),"NO DISPONIBLE"),CHOOSE({1,2},(INDIRECT("'"&amp;$B3&amp;"'!$C$29:$C$45")),(INDIRECT("'"&amp;$B3&amp;"'!$A$29:$A$45"))),2,0),0))&gt;(IFERROR(VLOOKUP(IFERROR(LOOKUP(2,1/((INDIRECT("'"&amp;$B3&amp;"'!$D$29:$D$45"))&lt;&gt;""),(INDIRECT("'"&amp;$B3&amp;"'!$D$29:$D$45"))),"NO DISPONIBLE"),CHOOSE({1,2},(INDIRECT("'"&amp;$B3&amp;"'!$D$29:$D$45")),(INDIRECT("'"&amp;$B3&amp;"'!$A$29:$A$45"))),2,0),0)),IFERROR(LOOKUP(2,1/((INDIRECT("'"&amp;$B3&amp;"'!$C$29:$C$45"))&lt;&gt;""),(INDIRECT("'"&amp;$B3&amp;"'!$C$29:$C$45"))),"NO DISPONIBLE"),IFERROR(LOOKUP(2,1/((INDIRECT("'"&amp;$B3&amp;"'!$D$29:$D$45"))&lt;&gt;""),(INDIRECT("'"&amp;$B3&amp;"'!$D$29:$D$45"))),"NO DISPONIBLE"))</f>
        <v>NO DISPONIBLE</v>
      </c>
      <c r="AC3" s="6" t="s">
        <v>82</v>
      </c>
      <c r="AD3" s="8"/>
      <c r="AF3" s="27"/>
    </row>
    <row r="4" spans="1:32" x14ac:dyDescent="0.3">
      <c r="A4" s="2" t="s">
        <v>19</v>
      </c>
      <c r="B4" s="2" t="str" cm="1">
        <f t="array" aca="1" ref="B4" ca="1">INDIRECT("'"&amp;$B4&amp;"'!$A$6")</f>
        <v>MASA PATRÓN</v>
      </c>
      <c r="C4" s="3" t="str" cm="1">
        <f t="array" aca="1" ref="C4" ca="1">INDIRECT("'"&amp;$B4&amp;"'!$G$14")</f>
        <v>TRUMAX</v>
      </c>
      <c r="D4" s="3" t="str" cm="1">
        <f t="array" aca="1" ref="D4" ca="1">INDIRECT("'"&amp;$B4&amp;"'!$G$15")</f>
        <v>M1</v>
      </c>
      <c r="E4" s="24" t="str" cm="1">
        <f t="array" aca="1" ref="E4" ca="1">INDIRECT("'"&amp;$B4&amp;"'!$G$16")</f>
        <v>AG210753</v>
      </c>
      <c r="F4" s="3" t="s">
        <v>65</v>
      </c>
      <c r="G4" s="3" t="s">
        <v>67</v>
      </c>
      <c r="H4" s="3" t="str" cm="1">
        <f t="array" aca="1" ref="H4" ca="1">INDIRECT("'"&amp;$B4&amp;"'!$G$11")</f>
        <v>MASA</v>
      </c>
      <c r="I4" s="3" t="s">
        <v>83</v>
      </c>
      <c r="J4" s="3" t="str" cm="1">
        <f t="array" aca="1" ref="J4" ca="1">INDIRECT("'"&amp;$B4&amp;"'!$G$21")</f>
        <v>500 g</v>
      </c>
      <c r="K4" s="3" t="str" cm="1">
        <f t="array" aca="1" ref="K4" ca="1">INDIRECT("'"&amp;$B4&amp;"'!$G$22")</f>
        <v>500 g</v>
      </c>
      <c r="L4" s="3" t="str" cm="1">
        <f t="array" aca="1" ref="L4" ca="1">INDIRECT("'"&amp;$B4&amp;"'!$G$23")</f>
        <v>N/A</v>
      </c>
      <c r="M4" s="4"/>
      <c r="N4" s="3" t="str" cm="1">
        <f t="array" aca="1" ref="N4" ca="1">INDIRECT("'"&amp;$B4&amp;"'!$G$22")</f>
        <v>500 g</v>
      </c>
      <c r="O4" s="3"/>
      <c r="P4" s="7" t="str" cm="1">
        <f t="array" aca="1" ref="P4" ca="1">IFERROR(LOOKUP(2,1/((INDIRECT("'"&amp;$B4&amp;"'!$G$29:$G$45"))&lt;&gt;""),(INDIRECT("'"&amp;$B4&amp;"'!$G$29:$G$45"))),"NO DISPONIBLE")</f>
        <v>FUNCIONAL</v>
      </c>
      <c r="Q4" s="3" t="s">
        <v>69</v>
      </c>
      <c r="R4" s="5" cm="1">
        <f t="array" aca="1" ref="R4" ca="1">IF(IF(MAX((IFERROR((ROW(INDIRECT("'"&amp;$B4&amp;"'!$F$29:$F$45"))-ROW(INDIRECT("'"&amp;$B4&amp;"'!$F$29"))+1)/--(IF(INDIRECT("'"&amp;$B4&amp;"'!$F$29:$F$45")&lt;&gt;"",1,0)),0))-(IFERROR((ROW(INDIRECT("'"&amp;$B4&amp;"'!$F$29:$F$45"))-ROW(INDIRECT("'"&amp;$B4&amp;"'!$F$29"))+1)/--(FIND("VERIFICACIÓN: ", INDIRECT("'"&amp;$B4&amp;"'!$F$29:$F$45"))),0)))&lt;&gt;0,INDEX(INDIRECT("'"&amp;$B4&amp;"'!$A$29:$G$45"),MAX((IFERROR((ROW(INDIRECT("'"&amp;$B4&amp;"'!$F$29:$F$45"))-ROW(INDIRECT("'"&amp;$B4&amp;"'!$F$29"))+1)/--(IF(INDIRECT("'"&amp;$B4&amp;"'!$F$29:$F$45")&lt;&gt;"",1,0)),0))-(IFERROR((ROW(INDIRECT("'"&amp;$B4&amp;"'!$F$29:$F$45"))-ROW(INDIRECT("'"&amp;$B4&amp;"'!$F$29"))+1)/--(FIND("VERIFICACIÓN: ", INDIRECT("'"&amp;$B4&amp;"'!$F$29:$F$45"))),0))),1),0)&gt;IF(MAX(IFERROR((_xlfn._xlws.FILTER((ROW(INDIRECT("'"&amp;$B4&amp;"'!$E$29:$E$45"))-ROW(INDIRECT("'"&amp;$B4&amp;"'!$E$29"))+1)/--(IF(INDIRECT("'"&amp;$B4&amp;"'!$E$29:$E$45")&lt;&gt;"",1,0)), NOT(ISNUMBER(MATCH((ROW(INDIRECT("'"&amp;$B4&amp;"'!$E$29:$E$45"))-ROW(INDIRECT("'"&amp;$B4&amp;"'!$E$29"))+1)/--(IF(INDIRECT("'"&amp;$B4&amp;"'!$E$29:$E$45")&lt;&gt;"",1,0)), (ROW(INDIRECT("'"&amp;$B4&amp;"'!$E$29:$E$45"))-ROW(INDIRECT("'"&amp;$B4&amp;"'!$E$29"))+1)/--(FIND("VERIFICACIÓN: ", INDIRECT("'"&amp;$B4&amp;"'!$E$29:$E$45"))), 0))))),0))&lt;&gt;0,INDEX(INDIRECT("'"&amp;$B4&amp;"'!$A$29:$G$45"),MAX((IFERROR((ROW(INDIRECT("'"&amp;$B4&amp;"'!$E$29:$E$45"))-ROW(INDIRECT("'"&amp;$B4&amp;"'!$E$29"))+1)/--(IF(INDIRECT("'"&amp;$B4&amp;"'!$E$29:$E$45")&lt;&gt;"",1,0)),0))-(IFERROR((ROW(INDIRECT("'"&amp;$B4&amp;"'!$E$29:$E$45"))-ROW(INDIRECT("'"&amp;$B4&amp;"'!$E$29"))+1)/--(FIND("VERIFICACIÓN: ", INDIRECT("'"&amp;$B4&amp;"'!$E$29:$E$45"))),0))),1),0),IF(MAX((IFERROR((ROW(INDIRECT("'"&amp;$B4&amp;"'!$F$29:$F$45"))-ROW(INDIRECT("'"&amp;$B4&amp;"'!$F$29"))+1)/--(IF(INDIRECT("'"&amp;$B4&amp;"'!$F$29:$F$45")&lt;&gt;"",1,0)),0))-(IFERROR((ROW(INDIRECT("'"&amp;$B4&amp;"'!$F$29:$F$45"))-ROW(INDIRECT("'"&amp;$B4&amp;"'!$F$29"))+1)/--(FIND("VERIFICACIÓN: ", INDIRECT("'"&amp;$B4&amp;"'!$F$29:$F$45"))),0)))&lt;&gt;0,INDEX(INDIRECT("'"&amp;$B4&amp;"'!$A$29:$G$45"),MAX((IFERROR((ROW(INDIRECT("'"&amp;$B4&amp;"'!$F$29:$F$45"))-ROW(INDIRECT("'"&amp;$B4&amp;"'!$F$29"))+1)/--(IF(INDIRECT("'"&amp;$B4&amp;"'!$F$29:$F$45")&lt;&gt;"",1,0)),0))-(IFERROR((ROW(INDIRECT("'"&amp;$B4&amp;"'!$F$29:$F$45"))-ROW(INDIRECT("'"&amp;$B4&amp;"'!$F$29"))+1)/--(FIND("VERIFICACIÓN: ", INDIRECT("'"&amp;$B4&amp;"'!$F$29:$F$45"))),0))),1),0),IF(MAX(IFERROR((_xlfn._xlws.FILTER((ROW(INDIRECT("'"&amp;$B4&amp;"'!$E$29:$E$45"))-ROW(INDIRECT("'"&amp;$B4&amp;"'!$E$29"))+1)/--(IF(INDIRECT("'"&amp;$B4&amp;"'!$E$29:$E$45")&lt;&gt;"",1,0)), NOT(ISNUMBER(MATCH((ROW(INDIRECT("'"&amp;$B4&amp;"'!$E$29:$E$45"))-ROW(INDIRECT("'"&amp;$B4&amp;"'!$E$29"))+1)/--(IF(INDIRECT("'"&amp;$B4&amp;"'!$E$29:$E$45")&lt;&gt;"",1,0)), (ROW(INDIRECT("'"&amp;$B4&amp;"'!$E$29:$E$45"))-ROW(INDIRECT("'"&amp;$B4&amp;"'!$E$29"))+1)/--(FIND("VERIFICACIÓN: ", INDIRECT("'"&amp;$B4&amp;"'!$E$29:$E$45"))), 0))))),0))&lt;&gt;0,INDEX(INDIRECT("'"&amp;$B4&amp;"'!$A$29:$G$45"),MAX((IFERROR((ROW(INDIRECT("'"&amp;$B4&amp;"'!$E$29:$E$45"))-ROW(INDIRECT("'"&amp;$B4&amp;"'!$E$29"))+1)/--(IF(INDIRECT("'"&amp;$B4&amp;"'!$E$29:$E$45")&lt;&gt;"",1,0)),0))-(IFERROR((ROW(INDIRECT("'"&amp;$B4&amp;"'!$E$29:$E$45"))-ROW(INDIRECT("'"&amp;$B4&amp;"'!$E$29"))+1)/--(FIND("VERIFICACIÓN: ", INDIRECT("'"&amp;$B4&amp;"'!$E$29:$E$45"))),0))),1),0))</f>
        <v>0</v>
      </c>
      <c r="S4" s="6" t="s">
        <v>70</v>
      </c>
      <c r="T4" s="7" t="str" cm="1">
        <f t="array" aca="1" ref="T4" ca="1">IF(IF(MAX((IFERROR((ROW(INDIRECT("'"&amp;$B4&amp;"'!$F$29:$F$45"))-ROW(INDIRECT("'"&amp;$B4&amp;"'!$F$29"))+1)/--(IF(INDIRECT("'"&amp;$B4&amp;"'!$F$29:$F$45")&lt;&gt;"",1,0)),0))-(IFERROR((ROW(INDIRECT("'"&amp;$B4&amp;"'!$F$29:$F$45"))-ROW(INDIRECT("'"&amp;$B4&amp;"'!$F$29"))+1)/--(FIND("VERIFICACIÓN: ", INDIRECT("'"&amp;$B4&amp;"'!$F$29:$F$45"))),0)))&lt;&gt;0,INDEX(INDIRECT("'"&amp;$B4&amp;"'!$A$29:$G$45"),MAX((IFERROR((ROW(INDIRECT("'"&amp;$B4&amp;"'!$F$29:$F$45"))-ROW(INDIRECT("'"&amp;$B4&amp;"'!$F$29"))+1)/--(IF(INDIRECT("'"&amp;$B4&amp;"'!$F$29:$F$45")&lt;&gt;"",1,0)),0))-(IFERROR((ROW(INDIRECT("'"&amp;$B4&amp;"'!$F$29:$F$45"))-ROW(INDIRECT("'"&amp;$B4&amp;"'!$F$29"))+1)/--(FIND("VERIFICACIÓN: ", INDIRECT("'"&amp;$B4&amp;"'!$F$29:$F$45"))),0))),1),0)&gt;IF(MAX(IFERROR((_xlfn._xlws.FILTER((ROW(INDIRECT("'"&amp;$B4&amp;"'!$E$29:$E$45"))-ROW(INDIRECT("'"&amp;$B4&amp;"'!$E$29"))+1)/--(IF(INDIRECT("'"&amp;$B4&amp;"'!$E$29:$E$45")&lt;&gt;"",1,0)), NOT(ISNUMBER(MATCH((ROW(INDIRECT("'"&amp;$B4&amp;"'!$E$29:$E$45"))-ROW(INDIRECT("'"&amp;$B4&amp;"'!$E$29"))+1)/--(IF(INDIRECT("'"&amp;$B4&amp;"'!$E$29:$E$45")&lt;&gt;"",1,0)), (ROW(INDIRECT("'"&amp;$B4&amp;"'!$E$29:$E$45"))-ROW(INDIRECT("'"&amp;$B4&amp;"'!$E$29"))+1)/--(FIND("VERIFICACIÓN: ", INDIRECT("'"&amp;$B4&amp;"'!$E$29:$E$45"))), 0))))),0))&lt;&gt;0,INDEX(INDIRECT("'"&amp;$B4&amp;"'!$A$29:$G$45"),MAX((IFERROR((ROW(INDIRECT("'"&amp;$B4&amp;"'!$E$29:$E$45"))-ROW(INDIRECT("'"&amp;$B4&amp;"'!$E$29"))+1)/--(IF(INDIRECT("'"&amp;$B4&amp;"'!$E$29:$E$45")&lt;&gt;"",1,0)),0))-(IFERROR((ROW(INDIRECT("'"&amp;$B4&amp;"'!$E$29:$E$45"))-ROW(INDIRECT("'"&amp;$B4&amp;"'!$E$29"))+1)/--(FIND("VERIFICACIÓN: ", INDIRECT("'"&amp;$B4&amp;"'!$E$29:$E$45"))),0))),1),0),IF(MAX((IFERROR((ROW(INDIRECT("'"&amp;$B4&amp;"'!$F$29:$F$45"))-ROW(INDIRECT("'"&amp;$B4&amp;"'!$F$29"))+1)/--(IF(INDIRECT("'"&amp;$B4&amp;"'!$F$29:$F$45")&lt;&gt;"",1,0)),0))-(IFERROR((ROW(INDIRECT("'"&amp;$B4&amp;"'!$F$29:$F$45"))-ROW(INDIRECT("'"&amp;$B4&amp;"'!$F$29"))+1)/--(FIND("VERIFICACIÓN: ", INDIRECT("'"&amp;$B4&amp;"'!$F$29:$F$45"))),0)))&lt;&gt;0,INDEX(INDIRECT("'"&amp;$B4&amp;"'!$A$29:$G$45"),MAX((IFERROR((ROW(INDIRECT("'"&amp;$B4&amp;"'!$F$29:$F$45"))-ROW(INDIRECT("'"&amp;$B4&amp;"'!$F$29"))+1)/--(IF(INDIRECT("'"&amp;$B4&amp;"'!$F$29:$F$45")&lt;&gt;"",1,0)),0))-(IFERROR((ROW(INDIRECT("'"&amp;$B4&amp;"'!$F$29:$F$45"))-ROW(INDIRECT("'"&amp;$B4&amp;"'!$F$29"))+1)/--(FIND("VERIFICACIÓN: ", INDIRECT("'"&amp;$B4&amp;"'!$F$29:$F$45"))),0))),6),"NO DISPONIBLE"),IF(MAX(IFERROR((_xlfn._xlws.FILTER((ROW(INDIRECT("'"&amp;$B4&amp;"'!$E$29:$E$45"))-ROW(INDIRECT("'"&amp;$B4&amp;"'!$E$29"))+1)/--(IF(INDIRECT("'"&amp;$B4&amp;"'!$E$29:$E$45")&lt;&gt;"",1,0)), NOT(ISNUMBER(MATCH((ROW(INDIRECT("'"&amp;$B4&amp;"'!$E$29:$E$45"))-ROW(INDIRECT("'"&amp;$B4&amp;"'!$E$29"))+1)/--(IF(INDIRECT("'"&amp;$B4&amp;"'!$E$29:$E$45")&lt;&gt;"",1,0)), (ROW(INDIRECT("'"&amp;$B4&amp;"'!$E$29:$E$45"))-ROW(INDIRECT("'"&amp;$B4&amp;"'!$E$29"))+1)/--(FIND("VERIFICACIÓN: ", INDIRECT("'"&amp;$B4&amp;"'!$E$29:$E$45"))), 0))))),0))&lt;&gt;0,INDEX(INDIRECT("'"&amp;$B4&amp;"'!$A$29:$G$45"),MAX((IFERROR((ROW(INDIRECT("'"&amp;$B4&amp;"'!$E$29:$E$45"))-ROW(INDIRECT("'"&amp;$B4&amp;"'!$E$29"))+1)/--(IF(INDIRECT("'"&amp;$B4&amp;"'!$E$29:$E$45")&lt;&gt;"",1,0)),0))-(IFERROR((ROW(INDIRECT("'"&amp;$B4&amp;"'!$E$29:$E$45"))-ROW(INDIRECT("'"&amp;$B4&amp;"'!$E$29"))+1)/--(FIND("VERIFICACIÓN: ", INDIRECT("'"&amp;$B4&amp;"'!$E$29:$E$45"))),0))),5),"NO DISPONIBLE"))</f>
        <v>NO DISPONIBLE</v>
      </c>
      <c r="U4" s="3" t="s">
        <v>69</v>
      </c>
      <c r="V4" s="5" cm="1">
        <f t="array" aca="1" ref="V4" ca="1">IF((IFERROR(VLOOKUP(IFERROR(LOOKUP(2,1/((INDIRECT("'"&amp;$B4&amp;"'!$F$29:$F$45"))&lt;&gt;""),(INDIRECT("'"&amp;$B4&amp;"'!$F$29:$F$45"))),"NO DISPONIBLE"),CHOOSE({1,2},(INDIRECT("'"&amp;$B4&amp;"'!$F$29:$F$45")),(INDIRECT("'"&amp;$B4&amp;"'!$A$29:$A$45"))),2,0),0))&gt;(IFERROR(VLOOKUP(IFERROR(LOOKUP(2,1/((INDIRECT("'"&amp;$B4&amp;"'!$E$29:$E$45"))&lt;&gt;""),(INDIRECT("'"&amp;$B4&amp;"'!$E$29:$E$45"))),"NO DISPONIBLE"),CHOOSE({1,2},(INDIRECT("'"&amp;$B4&amp;"'!$E$29:$E$45")),(INDIRECT("'"&amp;$B4&amp;"'!$A$29:$A$45"))),2,0),0)),(IFERROR(VLOOKUP(IFERROR(LOOKUP(2,1/((INDIRECT("'"&amp;$B4&amp;"'!$F$29:$F$45"))&lt;&gt;""),(INDIRECT("'"&amp;$B4&amp;"'!$F$29:$F$45"))),"NO DISPONIBLE"),CHOOSE({1,2},(INDIRECT("'"&amp;$B4&amp;"'!$F$29:$F$45")),(INDIRECT("'"&amp;$B4&amp;"'!$A$29:$A$45"))),2,0),0)),(IFERROR(VLOOKUP(IFERROR(LOOKUP(2,1/((INDIRECT("'"&amp;$B4&amp;"'!$E$29:$E$45"))&lt;&gt;""),(INDIRECT("'"&amp;$B4&amp;"'!$E$29:$E$45"))),"NO DISPONIBLE"),CHOOSE({1,2},(INDIRECT("'"&amp;$B4&amp;"'!$E$29:$E$45")),(INDIRECT("'"&amp;$B4&amp;"'!$A$29:$A$45"))),2,0),0)))</f>
        <v>0</v>
      </c>
      <c r="W4" s="6" t="s">
        <v>70</v>
      </c>
      <c r="X4" s="7" t="str" cm="1">
        <f t="array" aca="1" ref="X4" ca="1">IF((IFERROR(VLOOKUP(IFERROR(LOOKUP(2,1/((INDIRECT("'"&amp;$B4&amp;"'!$E$29:$E$45"))&lt;&gt;""),(INDIRECT("'"&amp;$B4&amp;"'!$E$29:$E$45"))),"NO DISPONIBLE"),CHOOSE({1,2},(INDIRECT("'"&amp;$B4&amp;"'!$E$29:$E$45")),(INDIRECT("'"&amp;$B4&amp;"'!$A$29:$A$45"))),2,0),0))&gt;(IFERROR(VLOOKUP(IFERROR(LOOKUP(2,1/((INDIRECT("'"&amp;$B4&amp;"'!$F$29:$F$45"))&lt;&gt;""),(INDIRECT("'"&amp;$B4&amp;"'!$F$29:$F$45"))),"NO DISPONIBLE"),CHOOSE({1,2},(INDIRECT("'"&amp;$B4&amp;"'!$F$29:$F$45")),(INDIRECT("'"&amp;$B4&amp;"'!$A$29:$A$45"))),2,0),0)),IFERROR(LOOKUP(2,1/((INDIRECT("'"&amp;$B4&amp;"'!$E$29:$E$45"))&lt;&gt;""),(INDIRECT("'"&amp;$B4&amp;"'!$E$29:$E$45"))),"NO DISPONIBLE"),IFERROR(LOOKUP(2,1/((INDIRECT("'"&amp;$B4&amp;"'!$F$29:$F$45"))&lt;&gt;""),(INDIRECT("'"&amp;$B4&amp;"'!$F$29:$F$45"))),"NO DISPONIBLE"))</f>
        <v>NO DISPONIBLE</v>
      </c>
      <c r="Y4" s="3" t="s">
        <v>69</v>
      </c>
      <c r="Z4" s="5" cm="1">
        <f t="array" aca="1" ref="Z4" ca="1">IF((IFERROR(VLOOKUP(IFERROR(LOOKUP(2,1/((INDIRECT("'"&amp;$B4&amp;"'!$D$29:$D$45"))&lt;&gt;""),(INDIRECT("'"&amp;$B4&amp;"'!$D$29:$D$45"))),"NO DISPONIBLE"),CHOOSE({1,2},(INDIRECT("'"&amp;$B4&amp;"'!$D$29:$D$45")),(INDIRECT("'"&amp;$B4&amp;"'!$A$29:$A$45"))),2,0),0))&gt;(IFERROR(VLOOKUP(IFERROR(LOOKUP(2,1/((INDIRECT("'"&amp;$B4&amp;"'!$C$29:$C$45"))&lt;&gt;""),(INDIRECT("'"&amp;$B4&amp;"'!$C$29:$C$45"))),"NO DISPONIBLE"),CHOOSE({1,2},(INDIRECT("'"&amp;$B4&amp;"'!$C$29:$C$45")),(INDIRECT("'"&amp;$B4&amp;"'!$A$29:$A$45"))),2,0),0)),(IFERROR(VLOOKUP(IFERROR(LOOKUP(2,1/((INDIRECT("'"&amp;$B4&amp;"'!$D$29:$D$45"))&lt;&gt;""),(INDIRECT("'"&amp;$B4&amp;"'!$D$29:$D$45"))),"NO DISPONIBLE"),CHOOSE({1,2},(INDIRECT("'"&amp;$B4&amp;"'!$D$29:$D$45")),(INDIRECT("'"&amp;$B4&amp;"'!$A$29:$A$45"))),2,0),0)),(IFERROR(VLOOKUP(IFERROR(LOOKUP(2,1/((INDIRECT("'"&amp;$B4&amp;"'!$C$29:$C$45"))&lt;&gt;""),(INDIRECT("'"&amp;$B4&amp;"'!$C$29:$C$45"))),"NO DISPONIBLE"),CHOOSE({1,2},(INDIRECT("'"&amp;$B4&amp;"'!$C$29:$C$45")),(INDIRECT("'"&amp;$B4&amp;"'!$A$29:$A$45"))),2,0),0)))</f>
        <v>0</v>
      </c>
      <c r="AA4" s="6" t="s">
        <v>70</v>
      </c>
      <c r="AB4" s="7" t="str" cm="1">
        <f t="array" aca="1" ref="AB4" ca="1">IF((IFERROR(VLOOKUP(IFERROR(LOOKUP(2,1/((INDIRECT("'"&amp;$B4&amp;"'!$C$29:$C$45"))&lt;&gt;""),(INDIRECT("'"&amp;$B4&amp;"'!$C$29:$C$45"))),"NO DISPONIBLE"),CHOOSE({1,2},(INDIRECT("'"&amp;$B4&amp;"'!$C$29:$C$45")),(INDIRECT("'"&amp;$B4&amp;"'!$A$29:$A$45"))),2,0),0))&gt;(IFERROR(VLOOKUP(IFERROR(LOOKUP(2,1/((INDIRECT("'"&amp;$B4&amp;"'!$D$29:$D$45"))&lt;&gt;""),(INDIRECT("'"&amp;$B4&amp;"'!$D$29:$D$45"))),"NO DISPONIBLE"),CHOOSE({1,2},(INDIRECT("'"&amp;$B4&amp;"'!$D$29:$D$45")),(INDIRECT("'"&amp;$B4&amp;"'!$A$29:$A$45"))),2,0),0)),IFERROR(LOOKUP(2,1/((INDIRECT("'"&amp;$B4&amp;"'!$C$29:$C$45"))&lt;&gt;""),(INDIRECT("'"&amp;$B4&amp;"'!$C$29:$C$45"))),"NO DISPONIBLE"),IFERROR(LOOKUP(2,1/((INDIRECT("'"&amp;$B4&amp;"'!$D$29:$D$45"))&lt;&gt;""),(INDIRECT("'"&amp;$B4&amp;"'!$D$29:$D$45"))),"NO DISPONIBLE"))</f>
        <v>NO DISPONIBLE</v>
      </c>
      <c r="AC4" s="6" t="s">
        <v>82</v>
      </c>
      <c r="AD4" s="8"/>
      <c r="AF4" s="27"/>
    </row>
    <row r="5" spans="1:32" x14ac:dyDescent="0.3">
      <c r="A5" s="2" t="s">
        <v>20</v>
      </c>
      <c r="B5" s="2" t="str" cm="1">
        <f t="array" aca="1" ref="B5" ca="1">INDIRECT("'"&amp;$B5&amp;"'!$A$6")</f>
        <v>MASA PATRÓN</v>
      </c>
      <c r="C5" s="3" t="str" cm="1">
        <f t="array" aca="1" ref="C5" ca="1">INDIRECT("'"&amp;$B5&amp;"'!$G$14")</f>
        <v>TRUMAX</v>
      </c>
      <c r="D5" s="3" t="str" cm="1">
        <f t="array" aca="1" ref="D5" ca="1">INDIRECT("'"&amp;$B5&amp;"'!$G$15")</f>
        <v>M1</v>
      </c>
      <c r="E5" s="24" t="str" cm="1">
        <f t="array" aca="1" ref="E5" ca="1">INDIRECT("'"&amp;$B5&amp;"'!$G$16")</f>
        <v>AG210617</v>
      </c>
      <c r="F5" s="3" t="s">
        <v>65</v>
      </c>
      <c r="G5" s="3" t="s">
        <v>67</v>
      </c>
      <c r="H5" s="3" t="str" cm="1">
        <f t="array" aca="1" ref="H5" ca="1">INDIRECT("'"&amp;$B5&amp;"'!$G$11")</f>
        <v>MASA</v>
      </c>
      <c r="I5" s="3" t="s">
        <v>83</v>
      </c>
      <c r="J5" s="3" t="str" cm="1">
        <f t="array" aca="1" ref="J5" ca="1">INDIRECT("'"&amp;$B5&amp;"'!$G$21")</f>
        <v>1 kg</v>
      </c>
      <c r="K5" s="3" t="str" cm="1">
        <f t="array" aca="1" ref="K5" ca="1">INDIRECT("'"&amp;$B5&amp;"'!$G$22")</f>
        <v>1 kg</v>
      </c>
      <c r="L5" s="3" t="str" cm="1">
        <f t="array" aca="1" ref="L5" ca="1">INDIRECT("'"&amp;$B5&amp;"'!$G$23")</f>
        <v>N/A</v>
      </c>
      <c r="M5" s="4"/>
      <c r="N5" s="3" t="str" cm="1">
        <f t="array" aca="1" ref="N5" ca="1">INDIRECT("'"&amp;$B5&amp;"'!$G$22")</f>
        <v>1 kg</v>
      </c>
      <c r="O5" s="3"/>
      <c r="P5" s="7" t="str" cm="1">
        <f t="array" aca="1" ref="P5" ca="1">IFERROR(LOOKUP(2,1/((INDIRECT("'"&amp;$B5&amp;"'!$G$29:$G$45"))&lt;&gt;""),(INDIRECT("'"&amp;$B5&amp;"'!$G$29:$G$45"))),"NO DISPONIBLE")</f>
        <v>FUNCIONAL</v>
      </c>
      <c r="Q5" s="3" t="s">
        <v>69</v>
      </c>
      <c r="R5" s="5" cm="1">
        <f t="array" aca="1" ref="R5" ca="1">IF(IF(MAX((IFERROR((ROW(INDIRECT("'"&amp;$B5&amp;"'!$F$29:$F$45"))-ROW(INDIRECT("'"&amp;$B5&amp;"'!$F$29"))+1)/--(IF(INDIRECT("'"&amp;$B5&amp;"'!$F$29:$F$45")&lt;&gt;"",1,0)),0))-(IFERROR((ROW(INDIRECT("'"&amp;$B5&amp;"'!$F$29:$F$45"))-ROW(INDIRECT("'"&amp;$B5&amp;"'!$F$29"))+1)/--(FIND("VERIFICACIÓN: ", INDIRECT("'"&amp;$B5&amp;"'!$F$29:$F$45"))),0)))&lt;&gt;0,INDEX(INDIRECT("'"&amp;$B5&amp;"'!$A$29:$G$45"),MAX((IFERROR((ROW(INDIRECT("'"&amp;$B5&amp;"'!$F$29:$F$45"))-ROW(INDIRECT("'"&amp;$B5&amp;"'!$F$29"))+1)/--(IF(INDIRECT("'"&amp;$B5&amp;"'!$F$29:$F$45")&lt;&gt;"",1,0)),0))-(IFERROR((ROW(INDIRECT("'"&amp;$B5&amp;"'!$F$29:$F$45"))-ROW(INDIRECT("'"&amp;$B5&amp;"'!$F$29"))+1)/--(FIND("VERIFICACIÓN: ", INDIRECT("'"&amp;$B5&amp;"'!$F$29:$F$45"))),0))),1),0)&gt;IF(MAX(IFERROR((_xlfn._xlws.FILTER((ROW(INDIRECT("'"&amp;$B5&amp;"'!$E$29:$E$45"))-ROW(INDIRECT("'"&amp;$B5&amp;"'!$E$29"))+1)/--(IF(INDIRECT("'"&amp;$B5&amp;"'!$E$29:$E$45")&lt;&gt;"",1,0)), NOT(ISNUMBER(MATCH((ROW(INDIRECT("'"&amp;$B5&amp;"'!$E$29:$E$45"))-ROW(INDIRECT("'"&amp;$B5&amp;"'!$E$29"))+1)/--(IF(INDIRECT("'"&amp;$B5&amp;"'!$E$29:$E$45")&lt;&gt;"",1,0)), (ROW(INDIRECT("'"&amp;$B5&amp;"'!$E$29:$E$45"))-ROW(INDIRECT("'"&amp;$B5&amp;"'!$E$29"))+1)/--(FIND("VERIFICACIÓN: ", INDIRECT("'"&amp;$B5&amp;"'!$E$29:$E$45"))), 0))))),0))&lt;&gt;0,INDEX(INDIRECT("'"&amp;$B5&amp;"'!$A$29:$G$45"),MAX((IFERROR((ROW(INDIRECT("'"&amp;$B5&amp;"'!$E$29:$E$45"))-ROW(INDIRECT("'"&amp;$B5&amp;"'!$E$29"))+1)/--(IF(INDIRECT("'"&amp;$B5&amp;"'!$E$29:$E$45")&lt;&gt;"",1,0)),0))-(IFERROR((ROW(INDIRECT("'"&amp;$B5&amp;"'!$E$29:$E$45"))-ROW(INDIRECT("'"&amp;$B5&amp;"'!$E$29"))+1)/--(FIND("VERIFICACIÓN: ", INDIRECT("'"&amp;$B5&amp;"'!$E$29:$E$45"))),0))),1),0),IF(MAX((IFERROR((ROW(INDIRECT("'"&amp;$B5&amp;"'!$F$29:$F$45"))-ROW(INDIRECT("'"&amp;$B5&amp;"'!$F$29"))+1)/--(IF(INDIRECT("'"&amp;$B5&amp;"'!$F$29:$F$45")&lt;&gt;"",1,0)),0))-(IFERROR((ROW(INDIRECT("'"&amp;$B5&amp;"'!$F$29:$F$45"))-ROW(INDIRECT("'"&amp;$B5&amp;"'!$F$29"))+1)/--(FIND("VERIFICACIÓN: ", INDIRECT("'"&amp;$B5&amp;"'!$F$29:$F$45"))),0)))&lt;&gt;0,INDEX(INDIRECT("'"&amp;$B5&amp;"'!$A$29:$G$45"),MAX((IFERROR((ROW(INDIRECT("'"&amp;$B5&amp;"'!$F$29:$F$45"))-ROW(INDIRECT("'"&amp;$B5&amp;"'!$F$29"))+1)/--(IF(INDIRECT("'"&amp;$B5&amp;"'!$F$29:$F$45")&lt;&gt;"",1,0)),0))-(IFERROR((ROW(INDIRECT("'"&amp;$B5&amp;"'!$F$29:$F$45"))-ROW(INDIRECT("'"&amp;$B5&amp;"'!$F$29"))+1)/--(FIND("VERIFICACIÓN: ", INDIRECT("'"&amp;$B5&amp;"'!$F$29:$F$45"))),0))),1),0),IF(MAX(IFERROR((_xlfn._xlws.FILTER((ROW(INDIRECT("'"&amp;$B5&amp;"'!$E$29:$E$45"))-ROW(INDIRECT("'"&amp;$B5&amp;"'!$E$29"))+1)/--(IF(INDIRECT("'"&amp;$B5&amp;"'!$E$29:$E$45")&lt;&gt;"",1,0)), NOT(ISNUMBER(MATCH((ROW(INDIRECT("'"&amp;$B5&amp;"'!$E$29:$E$45"))-ROW(INDIRECT("'"&amp;$B5&amp;"'!$E$29"))+1)/--(IF(INDIRECT("'"&amp;$B5&amp;"'!$E$29:$E$45")&lt;&gt;"",1,0)), (ROW(INDIRECT("'"&amp;$B5&amp;"'!$E$29:$E$45"))-ROW(INDIRECT("'"&amp;$B5&amp;"'!$E$29"))+1)/--(FIND("VERIFICACIÓN: ", INDIRECT("'"&amp;$B5&amp;"'!$E$29:$E$45"))), 0))))),0))&lt;&gt;0,INDEX(INDIRECT("'"&amp;$B5&amp;"'!$A$29:$G$45"),MAX((IFERROR((ROW(INDIRECT("'"&amp;$B5&amp;"'!$E$29:$E$45"))-ROW(INDIRECT("'"&amp;$B5&amp;"'!$E$29"))+1)/--(IF(INDIRECT("'"&amp;$B5&amp;"'!$E$29:$E$45")&lt;&gt;"",1,0)),0))-(IFERROR((ROW(INDIRECT("'"&amp;$B5&amp;"'!$E$29:$E$45"))-ROW(INDIRECT("'"&amp;$B5&amp;"'!$E$29"))+1)/--(FIND("VERIFICACIÓN: ", INDIRECT("'"&amp;$B5&amp;"'!$E$29:$E$45"))),0))),1),0))</f>
        <v>0</v>
      </c>
      <c r="S5" s="6" t="s">
        <v>70</v>
      </c>
      <c r="T5" s="7" t="str" cm="1">
        <f t="array" aca="1" ref="T5" ca="1">IF(IF(MAX((IFERROR((ROW(INDIRECT("'"&amp;$B5&amp;"'!$F$29:$F$45"))-ROW(INDIRECT("'"&amp;$B5&amp;"'!$F$29"))+1)/--(IF(INDIRECT("'"&amp;$B5&amp;"'!$F$29:$F$45")&lt;&gt;"",1,0)),0))-(IFERROR((ROW(INDIRECT("'"&amp;$B5&amp;"'!$F$29:$F$45"))-ROW(INDIRECT("'"&amp;$B5&amp;"'!$F$29"))+1)/--(FIND("VERIFICACIÓN: ", INDIRECT("'"&amp;$B5&amp;"'!$F$29:$F$45"))),0)))&lt;&gt;0,INDEX(INDIRECT("'"&amp;$B5&amp;"'!$A$29:$G$45"),MAX((IFERROR((ROW(INDIRECT("'"&amp;$B5&amp;"'!$F$29:$F$45"))-ROW(INDIRECT("'"&amp;$B5&amp;"'!$F$29"))+1)/--(IF(INDIRECT("'"&amp;$B5&amp;"'!$F$29:$F$45")&lt;&gt;"",1,0)),0))-(IFERROR((ROW(INDIRECT("'"&amp;$B5&amp;"'!$F$29:$F$45"))-ROW(INDIRECT("'"&amp;$B5&amp;"'!$F$29"))+1)/--(FIND("VERIFICACIÓN: ", INDIRECT("'"&amp;$B5&amp;"'!$F$29:$F$45"))),0))),1),0)&gt;IF(MAX(IFERROR((_xlfn._xlws.FILTER((ROW(INDIRECT("'"&amp;$B5&amp;"'!$E$29:$E$45"))-ROW(INDIRECT("'"&amp;$B5&amp;"'!$E$29"))+1)/--(IF(INDIRECT("'"&amp;$B5&amp;"'!$E$29:$E$45")&lt;&gt;"",1,0)), NOT(ISNUMBER(MATCH((ROW(INDIRECT("'"&amp;$B5&amp;"'!$E$29:$E$45"))-ROW(INDIRECT("'"&amp;$B5&amp;"'!$E$29"))+1)/--(IF(INDIRECT("'"&amp;$B5&amp;"'!$E$29:$E$45")&lt;&gt;"",1,0)), (ROW(INDIRECT("'"&amp;$B5&amp;"'!$E$29:$E$45"))-ROW(INDIRECT("'"&amp;$B5&amp;"'!$E$29"))+1)/--(FIND("VERIFICACIÓN: ", INDIRECT("'"&amp;$B5&amp;"'!$E$29:$E$45"))), 0))))),0))&lt;&gt;0,INDEX(INDIRECT("'"&amp;$B5&amp;"'!$A$29:$G$45"),MAX((IFERROR((ROW(INDIRECT("'"&amp;$B5&amp;"'!$E$29:$E$45"))-ROW(INDIRECT("'"&amp;$B5&amp;"'!$E$29"))+1)/--(IF(INDIRECT("'"&amp;$B5&amp;"'!$E$29:$E$45")&lt;&gt;"",1,0)),0))-(IFERROR((ROW(INDIRECT("'"&amp;$B5&amp;"'!$E$29:$E$45"))-ROW(INDIRECT("'"&amp;$B5&amp;"'!$E$29"))+1)/--(FIND("VERIFICACIÓN: ", INDIRECT("'"&amp;$B5&amp;"'!$E$29:$E$45"))),0))),1),0),IF(MAX((IFERROR((ROW(INDIRECT("'"&amp;$B5&amp;"'!$F$29:$F$45"))-ROW(INDIRECT("'"&amp;$B5&amp;"'!$F$29"))+1)/--(IF(INDIRECT("'"&amp;$B5&amp;"'!$F$29:$F$45")&lt;&gt;"",1,0)),0))-(IFERROR((ROW(INDIRECT("'"&amp;$B5&amp;"'!$F$29:$F$45"))-ROW(INDIRECT("'"&amp;$B5&amp;"'!$F$29"))+1)/--(FIND("VERIFICACIÓN: ", INDIRECT("'"&amp;$B5&amp;"'!$F$29:$F$45"))),0)))&lt;&gt;0,INDEX(INDIRECT("'"&amp;$B5&amp;"'!$A$29:$G$45"),MAX((IFERROR((ROW(INDIRECT("'"&amp;$B5&amp;"'!$F$29:$F$45"))-ROW(INDIRECT("'"&amp;$B5&amp;"'!$F$29"))+1)/--(IF(INDIRECT("'"&amp;$B5&amp;"'!$F$29:$F$45")&lt;&gt;"",1,0)),0))-(IFERROR((ROW(INDIRECT("'"&amp;$B5&amp;"'!$F$29:$F$45"))-ROW(INDIRECT("'"&amp;$B5&amp;"'!$F$29"))+1)/--(FIND("VERIFICACIÓN: ", INDIRECT("'"&amp;$B5&amp;"'!$F$29:$F$45"))),0))),6),"NO DISPONIBLE"),IF(MAX(IFERROR((_xlfn._xlws.FILTER((ROW(INDIRECT("'"&amp;$B5&amp;"'!$E$29:$E$45"))-ROW(INDIRECT("'"&amp;$B5&amp;"'!$E$29"))+1)/--(IF(INDIRECT("'"&amp;$B5&amp;"'!$E$29:$E$45")&lt;&gt;"",1,0)), NOT(ISNUMBER(MATCH((ROW(INDIRECT("'"&amp;$B5&amp;"'!$E$29:$E$45"))-ROW(INDIRECT("'"&amp;$B5&amp;"'!$E$29"))+1)/--(IF(INDIRECT("'"&amp;$B5&amp;"'!$E$29:$E$45")&lt;&gt;"",1,0)), (ROW(INDIRECT("'"&amp;$B5&amp;"'!$E$29:$E$45"))-ROW(INDIRECT("'"&amp;$B5&amp;"'!$E$29"))+1)/--(FIND("VERIFICACIÓN: ", INDIRECT("'"&amp;$B5&amp;"'!$E$29:$E$45"))), 0))))),0))&lt;&gt;0,INDEX(INDIRECT("'"&amp;$B5&amp;"'!$A$29:$G$45"),MAX((IFERROR((ROW(INDIRECT("'"&amp;$B5&amp;"'!$E$29:$E$45"))-ROW(INDIRECT("'"&amp;$B5&amp;"'!$E$29"))+1)/--(IF(INDIRECT("'"&amp;$B5&amp;"'!$E$29:$E$45")&lt;&gt;"",1,0)),0))-(IFERROR((ROW(INDIRECT("'"&amp;$B5&amp;"'!$E$29:$E$45"))-ROW(INDIRECT("'"&amp;$B5&amp;"'!$E$29"))+1)/--(FIND("VERIFICACIÓN: ", INDIRECT("'"&amp;$B5&amp;"'!$E$29:$E$45"))),0))),5),"NO DISPONIBLE"))</f>
        <v>NO DISPONIBLE</v>
      </c>
      <c r="U5" s="3" t="s">
        <v>69</v>
      </c>
      <c r="V5" s="5" cm="1">
        <f t="array" aca="1" ref="V5" ca="1">IF((IFERROR(VLOOKUP(IFERROR(LOOKUP(2,1/((INDIRECT("'"&amp;$B5&amp;"'!$F$29:$F$45"))&lt;&gt;""),(INDIRECT("'"&amp;$B5&amp;"'!$F$29:$F$45"))),"NO DISPONIBLE"),CHOOSE({1,2},(INDIRECT("'"&amp;$B5&amp;"'!$F$29:$F$45")),(INDIRECT("'"&amp;$B5&amp;"'!$A$29:$A$45"))),2,0),0))&gt;(IFERROR(VLOOKUP(IFERROR(LOOKUP(2,1/((INDIRECT("'"&amp;$B5&amp;"'!$E$29:$E$45"))&lt;&gt;""),(INDIRECT("'"&amp;$B5&amp;"'!$E$29:$E$45"))),"NO DISPONIBLE"),CHOOSE({1,2},(INDIRECT("'"&amp;$B5&amp;"'!$E$29:$E$45")),(INDIRECT("'"&amp;$B5&amp;"'!$A$29:$A$45"))),2,0),0)),(IFERROR(VLOOKUP(IFERROR(LOOKUP(2,1/((INDIRECT("'"&amp;$B5&amp;"'!$F$29:$F$45"))&lt;&gt;""),(INDIRECT("'"&amp;$B5&amp;"'!$F$29:$F$45"))),"NO DISPONIBLE"),CHOOSE({1,2},(INDIRECT("'"&amp;$B5&amp;"'!$F$29:$F$45")),(INDIRECT("'"&amp;$B5&amp;"'!$A$29:$A$45"))),2,0),0)),(IFERROR(VLOOKUP(IFERROR(LOOKUP(2,1/((INDIRECT("'"&amp;$B5&amp;"'!$E$29:$E$45"))&lt;&gt;""),(INDIRECT("'"&amp;$B5&amp;"'!$E$29:$E$45"))),"NO DISPONIBLE"),CHOOSE({1,2},(INDIRECT("'"&amp;$B5&amp;"'!$E$29:$E$45")),(INDIRECT("'"&amp;$B5&amp;"'!$A$29:$A$45"))),2,0),0)))</f>
        <v>0</v>
      </c>
      <c r="W5" s="6" t="s">
        <v>70</v>
      </c>
      <c r="X5" s="7" t="str" cm="1">
        <f t="array" aca="1" ref="X5" ca="1">IF((IFERROR(VLOOKUP(IFERROR(LOOKUP(2,1/((INDIRECT("'"&amp;$B5&amp;"'!$E$29:$E$45"))&lt;&gt;""),(INDIRECT("'"&amp;$B5&amp;"'!$E$29:$E$45"))),"NO DISPONIBLE"),CHOOSE({1,2},(INDIRECT("'"&amp;$B5&amp;"'!$E$29:$E$45")),(INDIRECT("'"&amp;$B5&amp;"'!$A$29:$A$45"))),2,0),0))&gt;(IFERROR(VLOOKUP(IFERROR(LOOKUP(2,1/((INDIRECT("'"&amp;$B5&amp;"'!$F$29:$F$45"))&lt;&gt;""),(INDIRECT("'"&amp;$B5&amp;"'!$F$29:$F$45"))),"NO DISPONIBLE"),CHOOSE({1,2},(INDIRECT("'"&amp;$B5&amp;"'!$F$29:$F$45")),(INDIRECT("'"&amp;$B5&amp;"'!$A$29:$A$45"))),2,0),0)),IFERROR(LOOKUP(2,1/((INDIRECT("'"&amp;$B5&amp;"'!$E$29:$E$45"))&lt;&gt;""),(INDIRECT("'"&amp;$B5&amp;"'!$E$29:$E$45"))),"NO DISPONIBLE"),IFERROR(LOOKUP(2,1/((INDIRECT("'"&amp;$B5&amp;"'!$F$29:$F$45"))&lt;&gt;""),(INDIRECT("'"&amp;$B5&amp;"'!$F$29:$F$45"))),"NO DISPONIBLE"))</f>
        <v>NO DISPONIBLE</v>
      </c>
      <c r="Y5" s="3" t="s">
        <v>69</v>
      </c>
      <c r="Z5" s="5" cm="1">
        <f t="array" aca="1" ref="Z5" ca="1">IF((IFERROR(VLOOKUP(IFERROR(LOOKUP(2,1/((INDIRECT("'"&amp;$B5&amp;"'!$D$29:$D$45"))&lt;&gt;""),(INDIRECT("'"&amp;$B5&amp;"'!$D$29:$D$45"))),"NO DISPONIBLE"),CHOOSE({1,2},(INDIRECT("'"&amp;$B5&amp;"'!$D$29:$D$45")),(INDIRECT("'"&amp;$B5&amp;"'!$A$29:$A$45"))),2,0),0))&gt;(IFERROR(VLOOKUP(IFERROR(LOOKUP(2,1/((INDIRECT("'"&amp;$B5&amp;"'!$C$29:$C$45"))&lt;&gt;""),(INDIRECT("'"&amp;$B5&amp;"'!$C$29:$C$45"))),"NO DISPONIBLE"),CHOOSE({1,2},(INDIRECT("'"&amp;$B5&amp;"'!$C$29:$C$45")),(INDIRECT("'"&amp;$B5&amp;"'!$A$29:$A$45"))),2,0),0)),(IFERROR(VLOOKUP(IFERROR(LOOKUP(2,1/((INDIRECT("'"&amp;$B5&amp;"'!$D$29:$D$45"))&lt;&gt;""),(INDIRECT("'"&amp;$B5&amp;"'!$D$29:$D$45"))),"NO DISPONIBLE"),CHOOSE({1,2},(INDIRECT("'"&amp;$B5&amp;"'!$D$29:$D$45")),(INDIRECT("'"&amp;$B5&amp;"'!$A$29:$A$45"))),2,0),0)),(IFERROR(VLOOKUP(IFERROR(LOOKUP(2,1/((INDIRECT("'"&amp;$B5&amp;"'!$C$29:$C$45"))&lt;&gt;""),(INDIRECT("'"&amp;$B5&amp;"'!$C$29:$C$45"))),"NO DISPONIBLE"),CHOOSE({1,2},(INDIRECT("'"&amp;$B5&amp;"'!$C$29:$C$45")),(INDIRECT("'"&amp;$B5&amp;"'!$A$29:$A$45"))),2,0),0)))</f>
        <v>0</v>
      </c>
      <c r="AA5" s="6" t="s">
        <v>70</v>
      </c>
      <c r="AB5" s="7" t="str" cm="1">
        <f t="array" aca="1" ref="AB5" ca="1">IF((IFERROR(VLOOKUP(IFERROR(LOOKUP(2,1/((INDIRECT("'"&amp;$B5&amp;"'!$C$29:$C$45"))&lt;&gt;""),(INDIRECT("'"&amp;$B5&amp;"'!$C$29:$C$45"))),"NO DISPONIBLE"),CHOOSE({1,2},(INDIRECT("'"&amp;$B5&amp;"'!$C$29:$C$45")),(INDIRECT("'"&amp;$B5&amp;"'!$A$29:$A$45"))),2,0),0))&gt;(IFERROR(VLOOKUP(IFERROR(LOOKUP(2,1/((INDIRECT("'"&amp;$B5&amp;"'!$D$29:$D$45"))&lt;&gt;""),(INDIRECT("'"&amp;$B5&amp;"'!$D$29:$D$45"))),"NO DISPONIBLE"),CHOOSE({1,2},(INDIRECT("'"&amp;$B5&amp;"'!$D$29:$D$45")),(INDIRECT("'"&amp;$B5&amp;"'!$A$29:$A$45"))),2,0),0)),IFERROR(LOOKUP(2,1/((INDIRECT("'"&amp;$B5&amp;"'!$C$29:$C$45"))&lt;&gt;""),(INDIRECT("'"&amp;$B5&amp;"'!$C$29:$C$45"))),"NO DISPONIBLE"),IFERROR(LOOKUP(2,1/((INDIRECT("'"&amp;$B5&amp;"'!$D$29:$D$45"))&lt;&gt;""),(INDIRECT("'"&amp;$B5&amp;"'!$D$29:$D$45"))),"NO DISPONIBLE"))</f>
        <v>NO DISPONIBLE</v>
      </c>
      <c r="AC5" s="6" t="s">
        <v>82</v>
      </c>
      <c r="AD5" s="8"/>
      <c r="AF5" s="27"/>
    </row>
    <row r="6" spans="1:32" x14ac:dyDescent="0.3">
      <c r="A6" s="2" t="s">
        <v>21</v>
      </c>
      <c r="B6" s="2" t="str" cm="1">
        <f t="array" aca="1" ref="B6" ca="1">INDIRECT("'"&amp;$B6&amp;"'!$A$6")</f>
        <v>MASA PATRÓN</v>
      </c>
      <c r="C6" s="3" t="str" cm="1">
        <f t="array" aca="1" ref="C6" ca="1">INDIRECT("'"&amp;$B6&amp;"'!$G$14")</f>
        <v>COLMETRO</v>
      </c>
      <c r="D6" s="3" t="str" cm="1">
        <f t="array" aca="1" ref="D6" ca="1">INDIRECT("'"&amp;$B6&amp;"'!$G$15")</f>
        <v>NO PORTA</v>
      </c>
      <c r="E6" s="24" t="str" cm="1">
        <f t="array" aca="1" ref="E6" ca="1">INDIRECT("'"&amp;$B6&amp;"'!$G$16")</f>
        <v>NO PORTA</v>
      </c>
      <c r="F6" s="3" t="s">
        <v>65</v>
      </c>
      <c r="G6" s="3" t="s">
        <v>67</v>
      </c>
      <c r="H6" s="3" t="str" cm="1">
        <f t="array" aca="1" ref="H6" ca="1">INDIRECT("'"&amp;$B6&amp;"'!$G$11")</f>
        <v>MASA</v>
      </c>
      <c r="I6" s="3" t="s">
        <v>83</v>
      </c>
      <c r="J6" s="3" t="str" cm="1">
        <f t="array" aca="1" ref="J6" ca="1">INDIRECT("'"&amp;$B6&amp;"'!$G$21")</f>
        <v>5 kg</v>
      </c>
      <c r="K6" s="3" t="str" cm="1">
        <f t="array" aca="1" ref="K6" ca="1">INDIRECT("'"&amp;$B6&amp;"'!$G$22")</f>
        <v>5 kg</v>
      </c>
      <c r="L6" s="3" t="str" cm="1">
        <f t="array" aca="1" ref="L6" ca="1">INDIRECT("'"&amp;$B6&amp;"'!$G$23")</f>
        <v>N/A</v>
      </c>
      <c r="M6" s="4"/>
      <c r="N6" s="3" t="str" cm="1">
        <f t="array" aca="1" ref="N6" ca="1">INDIRECT("'"&amp;$B6&amp;"'!$G$22")</f>
        <v>5 kg</v>
      </c>
      <c r="O6" s="3"/>
      <c r="P6" s="7" t="str" cm="1">
        <f t="array" aca="1" ref="P6" ca="1">IFERROR(LOOKUP(2,1/((INDIRECT("'"&amp;$B6&amp;"'!$G$29:$G$45"))&lt;&gt;""),(INDIRECT("'"&amp;$B6&amp;"'!$G$29:$G$45"))),"NO DISPONIBLE")</f>
        <v>FUNCIONAL</v>
      </c>
      <c r="Q6" s="3" t="s">
        <v>69</v>
      </c>
      <c r="R6" s="5" cm="1">
        <f t="array" aca="1" ref="R6" ca="1">IF(IF(MAX((IFERROR((ROW(INDIRECT("'"&amp;$B6&amp;"'!$F$29:$F$45"))-ROW(INDIRECT("'"&amp;$B6&amp;"'!$F$29"))+1)/--(IF(INDIRECT("'"&amp;$B6&amp;"'!$F$29:$F$45")&lt;&gt;"",1,0)),0))-(IFERROR((ROW(INDIRECT("'"&amp;$B6&amp;"'!$F$29:$F$45"))-ROW(INDIRECT("'"&amp;$B6&amp;"'!$F$29"))+1)/--(FIND("VERIFICACIÓN: ", INDIRECT("'"&amp;$B6&amp;"'!$F$29:$F$45"))),0)))&lt;&gt;0,INDEX(INDIRECT("'"&amp;$B6&amp;"'!$A$29:$G$45"),MAX((IFERROR((ROW(INDIRECT("'"&amp;$B6&amp;"'!$F$29:$F$45"))-ROW(INDIRECT("'"&amp;$B6&amp;"'!$F$29"))+1)/--(IF(INDIRECT("'"&amp;$B6&amp;"'!$F$29:$F$45")&lt;&gt;"",1,0)),0))-(IFERROR((ROW(INDIRECT("'"&amp;$B6&amp;"'!$F$29:$F$45"))-ROW(INDIRECT("'"&amp;$B6&amp;"'!$F$29"))+1)/--(FIND("VERIFICACIÓN: ", INDIRECT("'"&amp;$B6&amp;"'!$F$29:$F$45"))),0))),1),0)&gt;IF(MAX(IFERROR((_xlfn._xlws.FILTER((ROW(INDIRECT("'"&amp;$B6&amp;"'!$E$29:$E$45"))-ROW(INDIRECT("'"&amp;$B6&amp;"'!$E$29"))+1)/--(IF(INDIRECT("'"&amp;$B6&amp;"'!$E$29:$E$45")&lt;&gt;"",1,0)), NOT(ISNUMBER(MATCH((ROW(INDIRECT("'"&amp;$B6&amp;"'!$E$29:$E$45"))-ROW(INDIRECT("'"&amp;$B6&amp;"'!$E$29"))+1)/--(IF(INDIRECT("'"&amp;$B6&amp;"'!$E$29:$E$45")&lt;&gt;"",1,0)), (ROW(INDIRECT("'"&amp;$B6&amp;"'!$E$29:$E$45"))-ROW(INDIRECT("'"&amp;$B6&amp;"'!$E$29"))+1)/--(FIND("VERIFICACIÓN: ", INDIRECT("'"&amp;$B6&amp;"'!$E$29:$E$45"))), 0))))),0))&lt;&gt;0,INDEX(INDIRECT("'"&amp;$B6&amp;"'!$A$29:$G$45"),MAX((IFERROR((ROW(INDIRECT("'"&amp;$B6&amp;"'!$E$29:$E$45"))-ROW(INDIRECT("'"&amp;$B6&amp;"'!$E$29"))+1)/--(IF(INDIRECT("'"&amp;$B6&amp;"'!$E$29:$E$45")&lt;&gt;"",1,0)),0))-(IFERROR((ROW(INDIRECT("'"&amp;$B6&amp;"'!$E$29:$E$45"))-ROW(INDIRECT("'"&amp;$B6&amp;"'!$E$29"))+1)/--(FIND("VERIFICACIÓN: ", INDIRECT("'"&amp;$B6&amp;"'!$E$29:$E$45"))),0))),1),0),IF(MAX((IFERROR((ROW(INDIRECT("'"&amp;$B6&amp;"'!$F$29:$F$45"))-ROW(INDIRECT("'"&amp;$B6&amp;"'!$F$29"))+1)/--(IF(INDIRECT("'"&amp;$B6&amp;"'!$F$29:$F$45")&lt;&gt;"",1,0)),0))-(IFERROR((ROW(INDIRECT("'"&amp;$B6&amp;"'!$F$29:$F$45"))-ROW(INDIRECT("'"&amp;$B6&amp;"'!$F$29"))+1)/--(FIND("VERIFICACIÓN: ", INDIRECT("'"&amp;$B6&amp;"'!$F$29:$F$45"))),0)))&lt;&gt;0,INDEX(INDIRECT("'"&amp;$B6&amp;"'!$A$29:$G$45"),MAX((IFERROR((ROW(INDIRECT("'"&amp;$B6&amp;"'!$F$29:$F$45"))-ROW(INDIRECT("'"&amp;$B6&amp;"'!$F$29"))+1)/--(IF(INDIRECT("'"&amp;$B6&amp;"'!$F$29:$F$45")&lt;&gt;"",1,0)),0))-(IFERROR((ROW(INDIRECT("'"&amp;$B6&amp;"'!$F$29:$F$45"))-ROW(INDIRECT("'"&amp;$B6&amp;"'!$F$29"))+1)/--(FIND("VERIFICACIÓN: ", INDIRECT("'"&amp;$B6&amp;"'!$F$29:$F$45"))),0))),1),0),IF(MAX(IFERROR((_xlfn._xlws.FILTER((ROW(INDIRECT("'"&amp;$B6&amp;"'!$E$29:$E$45"))-ROW(INDIRECT("'"&amp;$B6&amp;"'!$E$29"))+1)/--(IF(INDIRECT("'"&amp;$B6&amp;"'!$E$29:$E$45")&lt;&gt;"",1,0)), NOT(ISNUMBER(MATCH((ROW(INDIRECT("'"&amp;$B6&amp;"'!$E$29:$E$45"))-ROW(INDIRECT("'"&amp;$B6&amp;"'!$E$29"))+1)/--(IF(INDIRECT("'"&amp;$B6&amp;"'!$E$29:$E$45")&lt;&gt;"",1,0)), (ROW(INDIRECT("'"&amp;$B6&amp;"'!$E$29:$E$45"))-ROW(INDIRECT("'"&amp;$B6&amp;"'!$E$29"))+1)/--(FIND("VERIFICACIÓN: ", INDIRECT("'"&amp;$B6&amp;"'!$E$29:$E$45"))), 0))))),0))&lt;&gt;0,INDEX(INDIRECT("'"&amp;$B6&amp;"'!$A$29:$G$45"),MAX((IFERROR((ROW(INDIRECT("'"&amp;$B6&amp;"'!$E$29:$E$45"))-ROW(INDIRECT("'"&amp;$B6&amp;"'!$E$29"))+1)/--(IF(INDIRECT("'"&amp;$B6&amp;"'!$E$29:$E$45")&lt;&gt;"",1,0)),0))-(IFERROR((ROW(INDIRECT("'"&amp;$B6&amp;"'!$E$29:$E$45"))-ROW(INDIRECT("'"&amp;$B6&amp;"'!$E$29"))+1)/--(FIND("VERIFICACIÓN: ", INDIRECT("'"&amp;$B6&amp;"'!$E$29:$E$45"))),0))),1),0))</f>
        <v>0</v>
      </c>
      <c r="S6" s="6" t="s">
        <v>70</v>
      </c>
      <c r="T6" s="7" t="str" cm="1">
        <f t="array" aca="1" ref="T6" ca="1">IF(IF(MAX((IFERROR((ROW(INDIRECT("'"&amp;$B6&amp;"'!$F$29:$F$45"))-ROW(INDIRECT("'"&amp;$B6&amp;"'!$F$29"))+1)/--(IF(INDIRECT("'"&amp;$B6&amp;"'!$F$29:$F$45")&lt;&gt;"",1,0)),0))-(IFERROR((ROW(INDIRECT("'"&amp;$B6&amp;"'!$F$29:$F$45"))-ROW(INDIRECT("'"&amp;$B6&amp;"'!$F$29"))+1)/--(FIND("VERIFICACIÓN: ", INDIRECT("'"&amp;$B6&amp;"'!$F$29:$F$45"))),0)))&lt;&gt;0,INDEX(INDIRECT("'"&amp;$B6&amp;"'!$A$29:$G$45"),MAX((IFERROR((ROW(INDIRECT("'"&amp;$B6&amp;"'!$F$29:$F$45"))-ROW(INDIRECT("'"&amp;$B6&amp;"'!$F$29"))+1)/--(IF(INDIRECT("'"&amp;$B6&amp;"'!$F$29:$F$45")&lt;&gt;"",1,0)),0))-(IFERROR((ROW(INDIRECT("'"&amp;$B6&amp;"'!$F$29:$F$45"))-ROW(INDIRECT("'"&amp;$B6&amp;"'!$F$29"))+1)/--(FIND("VERIFICACIÓN: ", INDIRECT("'"&amp;$B6&amp;"'!$F$29:$F$45"))),0))),1),0)&gt;IF(MAX(IFERROR((_xlfn._xlws.FILTER((ROW(INDIRECT("'"&amp;$B6&amp;"'!$E$29:$E$45"))-ROW(INDIRECT("'"&amp;$B6&amp;"'!$E$29"))+1)/--(IF(INDIRECT("'"&amp;$B6&amp;"'!$E$29:$E$45")&lt;&gt;"",1,0)), NOT(ISNUMBER(MATCH((ROW(INDIRECT("'"&amp;$B6&amp;"'!$E$29:$E$45"))-ROW(INDIRECT("'"&amp;$B6&amp;"'!$E$29"))+1)/--(IF(INDIRECT("'"&amp;$B6&amp;"'!$E$29:$E$45")&lt;&gt;"",1,0)), (ROW(INDIRECT("'"&amp;$B6&amp;"'!$E$29:$E$45"))-ROW(INDIRECT("'"&amp;$B6&amp;"'!$E$29"))+1)/--(FIND("VERIFICACIÓN: ", INDIRECT("'"&amp;$B6&amp;"'!$E$29:$E$45"))), 0))))),0))&lt;&gt;0,INDEX(INDIRECT("'"&amp;$B6&amp;"'!$A$29:$G$45"),MAX((IFERROR((ROW(INDIRECT("'"&amp;$B6&amp;"'!$E$29:$E$45"))-ROW(INDIRECT("'"&amp;$B6&amp;"'!$E$29"))+1)/--(IF(INDIRECT("'"&amp;$B6&amp;"'!$E$29:$E$45")&lt;&gt;"",1,0)),0))-(IFERROR((ROW(INDIRECT("'"&amp;$B6&amp;"'!$E$29:$E$45"))-ROW(INDIRECT("'"&amp;$B6&amp;"'!$E$29"))+1)/--(FIND("VERIFICACIÓN: ", INDIRECT("'"&amp;$B6&amp;"'!$E$29:$E$45"))),0))),1),0),IF(MAX((IFERROR((ROW(INDIRECT("'"&amp;$B6&amp;"'!$F$29:$F$45"))-ROW(INDIRECT("'"&amp;$B6&amp;"'!$F$29"))+1)/--(IF(INDIRECT("'"&amp;$B6&amp;"'!$F$29:$F$45")&lt;&gt;"",1,0)),0))-(IFERROR((ROW(INDIRECT("'"&amp;$B6&amp;"'!$F$29:$F$45"))-ROW(INDIRECT("'"&amp;$B6&amp;"'!$F$29"))+1)/--(FIND("VERIFICACIÓN: ", INDIRECT("'"&amp;$B6&amp;"'!$F$29:$F$45"))),0)))&lt;&gt;0,INDEX(INDIRECT("'"&amp;$B6&amp;"'!$A$29:$G$45"),MAX((IFERROR((ROW(INDIRECT("'"&amp;$B6&amp;"'!$F$29:$F$45"))-ROW(INDIRECT("'"&amp;$B6&amp;"'!$F$29"))+1)/--(IF(INDIRECT("'"&amp;$B6&amp;"'!$F$29:$F$45")&lt;&gt;"",1,0)),0))-(IFERROR((ROW(INDIRECT("'"&amp;$B6&amp;"'!$F$29:$F$45"))-ROW(INDIRECT("'"&amp;$B6&amp;"'!$F$29"))+1)/--(FIND("VERIFICACIÓN: ", INDIRECT("'"&amp;$B6&amp;"'!$F$29:$F$45"))),0))),6),"NO DISPONIBLE"),IF(MAX(IFERROR((_xlfn._xlws.FILTER((ROW(INDIRECT("'"&amp;$B6&amp;"'!$E$29:$E$45"))-ROW(INDIRECT("'"&amp;$B6&amp;"'!$E$29"))+1)/--(IF(INDIRECT("'"&amp;$B6&amp;"'!$E$29:$E$45")&lt;&gt;"",1,0)), NOT(ISNUMBER(MATCH((ROW(INDIRECT("'"&amp;$B6&amp;"'!$E$29:$E$45"))-ROW(INDIRECT("'"&amp;$B6&amp;"'!$E$29"))+1)/--(IF(INDIRECT("'"&amp;$B6&amp;"'!$E$29:$E$45")&lt;&gt;"",1,0)), (ROW(INDIRECT("'"&amp;$B6&amp;"'!$E$29:$E$45"))-ROW(INDIRECT("'"&amp;$B6&amp;"'!$E$29"))+1)/--(FIND("VERIFICACIÓN: ", INDIRECT("'"&amp;$B6&amp;"'!$E$29:$E$45"))), 0))))),0))&lt;&gt;0,INDEX(INDIRECT("'"&amp;$B6&amp;"'!$A$29:$G$45"),MAX((IFERROR((ROW(INDIRECT("'"&amp;$B6&amp;"'!$E$29:$E$45"))-ROW(INDIRECT("'"&amp;$B6&amp;"'!$E$29"))+1)/--(IF(INDIRECT("'"&amp;$B6&amp;"'!$E$29:$E$45")&lt;&gt;"",1,0)),0))-(IFERROR((ROW(INDIRECT("'"&amp;$B6&amp;"'!$E$29:$E$45"))-ROW(INDIRECT("'"&amp;$B6&amp;"'!$E$29"))+1)/--(FIND("VERIFICACIÓN: ", INDIRECT("'"&amp;$B6&amp;"'!$E$29:$E$45"))),0))),5),"NO DISPONIBLE"))</f>
        <v>NO DISPONIBLE</v>
      </c>
      <c r="U6" s="3" t="s">
        <v>69</v>
      </c>
      <c r="V6" s="5" cm="1">
        <f t="array" aca="1" ref="V6" ca="1">IF((IFERROR(VLOOKUP(IFERROR(LOOKUP(2,1/((INDIRECT("'"&amp;$B6&amp;"'!$F$29:$F$45"))&lt;&gt;""),(INDIRECT("'"&amp;$B6&amp;"'!$F$29:$F$45"))),"NO DISPONIBLE"),CHOOSE({1,2},(INDIRECT("'"&amp;$B6&amp;"'!$F$29:$F$45")),(INDIRECT("'"&amp;$B6&amp;"'!$A$29:$A$45"))),2,0),0))&gt;(IFERROR(VLOOKUP(IFERROR(LOOKUP(2,1/((INDIRECT("'"&amp;$B6&amp;"'!$E$29:$E$45"))&lt;&gt;""),(INDIRECT("'"&amp;$B6&amp;"'!$E$29:$E$45"))),"NO DISPONIBLE"),CHOOSE({1,2},(INDIRECT("'"&amp;$B6&amp;"'!$E$29:$E$45")),(INDIRECT("'"&amp;$B6&amp;"'!$A$29:$A$45"))),2,0),0)),(IFERROR(VLOOKUP(IFERROR(LOOKUP(2,1/((INDIRECT("'"&amp;$B6&amp;"'!$F$29:$F$45"))&lt;&gt;""),(INDIRECT("'"&amp;$B6&amp;"'!$F$29:$F$45"))),"NO DISPONIBLE"),CHOOSE({1,2},(INDIRECT("'"&amp;$B6&amp;"'!$F$29:$F$45")),(INDIRECT("'"&amp;$B6&amp;"'!$A$29:$A$45"))),2,0),0)),(IFERROR(VLOOKUP(IFERROR(LOOKUP(2,1/((INDIRECT("'"&amp;$B6&amp;"'!$E$29:$E$45"))&lt;&gt;""),(INDIRECT("'"&amp;$B6&amp;"'!$E$29:$E$45"))),"NO DISPONIBLE"),CHOOSE({1,2},(INDIRECT("'"&amp;$B6&amp;"'!$E$29:$E$45")),(INDIRECT("'"&amp;$B6&amp;"'!$A$29:$A$45"))),2,0),0)))</f>
        <v>0</v>
      </c>
      <c r="W6" s="6" t="s">
        <v>70</v>
      </c>
      <c r="X6" s="7" t="str" cm="1">
        <f t="array" aca="1" ref="X6" ca="1">IF((IFERROR(VLOOKUP(IFERROR(LOOKUP(2,1/((INDIRECT("'"&amp;$B6&amp;"'!$E$29:$E$45"))&lt;&gt;""),(INDIRECT("'"&amp;$B6&amp;"'!$E$29:$E$45"))),"NO DISPONIBLE"),CHOOSE({1,2},(INDIRECT("'"&amp;$B6&amp;"'!$E$29:$E$45")),(INDIRECT("'"&amp;$B6&amp;"'!$A$29:$A$45"))),2,0),0))&gt;(IFERROR(VLOOKUP(IFERROR(LOOKUP(2,1/((INDIRECT("'"&amp;$B6&amp;"'!$F$29:$F$45"))&lt;&gt;""),(INDIRECT("'"&amp;$B6&amp;"'!$F$29:$F$45"))),"NO DISPONIBLE"),CHOOSE({1,2},(INDIRECT("'"&amp;$B6&amp;"'!$F$29:$F$45")),(INDIRECT("'"&amp;$B6&amp;"'!$A$29:$A$45"))),2,0),0)),IFERROR(LOOKUP(2,1/((INDIRECT("'"&amp;$B6&amp;"'!$E$29:$E$45"))&lt;&gt;""),(INDIRECT("'"&amp;$B6&amp;"'!$E$29:$E$45"))),"NO DISPONIBLE"),IFERROR(LOOKUP(2,1/((INDIRECT("'"&amp;$B6&amp;"'!$F$29:$F$45"))&lt;&gt;""),(INDIRECT("'"&amp;$B6&amp;"'!$F$29:$F$45"))),"NO DISPONIBLE"))</f>
        <v>NO DISPONIBLE</v>
      </c>
      <c r="Y6" s="3" t="s">
        <v>69</v>
      </c>
      <c r="Z6" s="5" cm="1">
        <f t="array" aca="1" ref="Z6" ca="1">IF((IFERROR(VLOOKUP(IFERROR(LOOKUP(2,1/((INDIRECT("'"&amp;$B6&amp;"'!$D$29:$D$45"))&lt;&gt;""),(INDIRECT("'"&amp;$B6&amp;"'!$D$29:$D$45"))),"NO DISPONIBLE"),CHOOSE({1,2},(INDIRECT("'"&amp;$B6&amp;"'!$D$29:$D$45")),(INDIRECT("'"&amp;$B6&amp;"'!$A$29:$A$45"))),2,0),0))&gt;(IFERROR(VLOOKUP(IFERROR(LOOKUP(2,1/((INDIRECT("'"&amp;$B6&amp;"'!$C$29:$C$45"))&lt;&gt;""),(INDIRECT("'"&amp;$B6&amp;"'!$C$29:$C$45"))),"NO DISPONIBLE"),CHOOSE({1,2},(INDIRECT("'"&amp;$B6&amp;"'!$C$29:$C$45")),(INDIRECT("'"&amp;$B6&amp;"'!$A$29:$A$45"))),2,0),0)),(IFERROR(VLOOKUP(IFERROR(LOOKUP(2,1/((INDIRECT("'"&amp;$B6&amp;"'!$D$29:$D$45"))&lt;&gt;""),(INDIRECT("'"&amp;$B6&amp;"'!$D$29:$D$45"))),"NO DISPONIBLE"),CHOOSE({1,2},(INDIRECT("'"&amp;$B6&amp;"'!$D$29:$D$45")),(INDIRECT("'"&amp;$B6&amp;"'!$A$29:$A$45"))),2,0),0)),(IFERROR(VLOOKUP(IFERROR(LOOKUP(2,1/((INDIRECT("'"&amp;$B6&amp;"'!$C$29:$C$45"))&lt;&gt;""),(INDIRECT("'"&amp;$B6&amp;"'!$C$29:$C$45"))),"NO DISPONIBLE"),CHOOSE({1,2},(INDIRECT("'"&amp;$B6&amp;"'!$C$29:$C$45")),(INDIRECT("'"&amp;$B6&amp;"'!$A$29:$A$45"))),2,0),0)))</f>
        <v>0</v>
      </c>
      <c r="AA6" s="6" t="s">
        <v>70</v>
      </c>
      <c r="AB6" s="7" t="str" cm="1">
        <f t="array" aca="1" ref="AB6" ca="1">IF((IFERROR(VLOOKUP(IFERROR(LOOKUP(2,1/((INDIRECT("'"&amp;$B6&amp;"'!$C$29:$C$45"))&lt;&gt;""),(INDIRECT("'"&amp;$B6&amp;"'!$C$29:$C$45"))),"NO DISPONIBLE"),CHOOSE({1,2},(INDIRECT("'"&amp;$B6&amp;"'!$C$29:$C$45")),(INDIRECT("'"&amp;$B6&amp;"'!$A$29:$A$45"))),2,0),0))&gt;(IFERROR(VLOOKUP(IFERROR(LOOKUP(2,1/((INDIRECT("'"&amp;$B6&amp;"'!$D$29:$D$45"))&lt;&gt;""),(INDIRECT("'"&amp;$B6&amp;"'!$D$29:$D$45"))),"NO DISPONIBLE"),CHOOSE({1,2},(INDIRECT("'"&amp;$B6&amp;"'!$D$29:$D$45")),(INDIRECT("'"&amp;$B6&amp;"'!$A$29:$A$45"))),2,0),0)),IFERROR(LOOKUP(2,1/((INDIRECT("'"&amp;$B6&amp;"'!$C$29:$C$45"))&lt;&gt;""),(INDIRECT("'"&amp;$B6&amp;"'!$C$29:$C$45"))),"NO DISPONIBLE"),IFERROR(LOOKUP(2,1/((INDIRECT("'"&amp;$B6&amp;"'!$D$29:$D$45"))&lt;&gt;""),(INDIRECT("'"&amp;$B6&amp;"'!$D$29:$D$45"))),"NO DISPONIBLE"))</f>
        <v>NO DISPONIBLE</v>
      </c>
      <c r="AC6" s="6" t="s">
        <v>82</v>
      </c>
      <c r="AD6" s="8"/>
      <c r="AF6" s="27"/>
    </row>
    <row r="7" spans="1:32" x14ac:dyDescent="0.3">
      <c r="A7" s="2" t="s">
        <v>22</v>
      </c>
      <c r="B7" s="2" t="str" cm="1">
        <f t="array" aca="1" ref="B7" ca="1">INDIRECT("'"&amp;$B7&amp;"'!$A$6")</f>
        <v>MASA PATRÓN</v>
      </c>
      <c r="C7" s="3" t="str" cm="1">
        <f t="array" aca="1" ref="C7" ca="1">INDIRECT("'"&amp;$B7&amp;"'!$G$14")</f>
        <v>COLMETRO</v>
      </c>
      <c r="D7" s="3" t="str" cm="1">
        <f t="array" aca="1" ref="D7" ca="1">INDIRECT("'"&amp;$B7&amp;"'!$G$15")</f>
        <v>RECTANGULAR</v>
      </c>
      <c r="E7" s="24" t="str" cm="1">
        <f t="array" aca="1" ref="E7" ca="1">INDIRECT("'"&amp;$B7&amp;"'!$G$16")</f>
        <v>MJM10-1</v>
      </c>
      <c r="F7" s="3" t="s">
        <v>65</v>
      </c>
      <c r="G7" s="3" t="s">
        <v>67</v>
      </c>
      <c r="H7" s="3" t="str" cm="1">
        <f t="array" aca="1" ref="H7" ca="1">INDIRECT("'"&amp;$B7&amp;"'!$G$11")</f>
        <v>MASA</v>
      </c>
      <c r="I7" s="3" t="str" cm="1">
        <f t="array" aca="1" ref="I7" ca="1">INDIRECT("'"&amp;$B7&amp;"'!$C$11")</f>
        <v>MEDIA</v>
      </c>
      <c r="J7" s="3" t="str" cm="1">
        <f t="array" aca="1" ref="J7" ca="1">INDIRECT("'"&amp;$B7&amp;"'!$G$21")</f>
        <v>10 kg</v>
      </c>
      <c r="K7" s="3" t="str" cm="1">
        <f t="array" aca="1" ref="K7" ca="1">INDIRECT("'"&amp;$B7&amp;"'!$G$22")</f>
        <v>10 kg</v>
      </c>
      <c r="L7" s="3" t="str" cm="1">
        <f t="array" aca="1" ref="L7" ca="1">INDIRECT("'"&amp;$B7&amp;"'!$G$23")</f>
        <v>N/A</v>
      </c>
      <c r="M7" s="4"/>
      <c r="N7" s="3" t="str" cm="1">
        <f t="array" aca="1" ref="N7" ca="1">INDIRECT("'"&amp;$B7&amp;"'!$G$22")</f>
        <v>10 kg</v>
      </c>
      <c r="O7" s="3"/>
      <c r="P7" s="7" t="str" cm="1">
        <f t="array" aca="1" ref="P7" ca="1">IFERROR(LOOKUP(2,1/((INDIRECT("'"&amp;$B7&amp;"'!$G$29:$G$45"))&lt;&gt;""),(INDIRECT("'"&amp;$B7&amp;"'!$G$29:$G$45"))),"NO DISPONIBLE")</f>
        <v>FUNCIONAL</v>
      </c>
      <c r="Q7" s="3" t="s">
        <v>69</v>
      </c>
      <c r="R7" s="5" cm="1">
        <f t="array" aca="1" ref="R7" ca="1">IF(IF(MAX((IFERROR((ROW(INDIRECT("'"&amp;$B7&amp;"'!$F$29:$F$45"))-ROW(INDIRECT("'"&amp;$B7&amp;"'!$F$29"))+1)/--(IF(INDIRECT("'"&amp;$B7&amp;"'!$F$29:$F$45")&lt;&gt;"",1,0)),0))-(IFERROR((ROW(INDIRECT("'"&amp;$B7&amp;"'!$F$29:$F$45"))-ROW(INDIRECT("'"&amp;$B7&amp;"'!$F$29"))+1)/--(FIND("VERIFICACIÓN: ", INDIRECT("'"&amp;$B7&amp;"'!$F$29:$F$45"))),0)))&lt;&gt;0,INDEX(INDIRECT("'"&amp;$B7&amp;"'!$A$29:$G$45"),MAX((IFERROR((ROW(INDIRECT("'"&amp;$B7&amp;"'!$F$29:$F$45"))-ROW(INDIRECT("'"&amp;$B7&amp;"'!$F$29"))+1)/--(IF(INDIRECT("'"&amp;$B7&amp;"'!$F$29:$F$45")&lt;&gt;"",1,0)),0))-(IFERROR((ROW(INDIRECT("'"&amp;$B7&amp;"'!$F$29:$F$45"))-ROW(INDIRECT("'"&amp;$B7&amp;"'!$F$29"))+1)/--(FIND("VERIFICACIÓN: ", INDIRECT("'"&amp;$B7&amp;"'!$F$29:$F$45"))),0))),1),0)&gt;IF(MAX(IFERROR((_xlfn._xlws.FILTER((ROW(INDIRECT("'"&amp;$B7&amp;"'!$E$29:$E$45"))-ROW(INDIRECT("'"&amp;$B7&amp;"'!$E$29"))+1)/--(IF(INDIRECT("'"&amp;$B7&amp;"'!$E$29:$E$45")&lt;&gt;"",1,0)), NOT(ISNUMBER(MATCH((ROW(INDIRECT("'"&amp;$B7&amp;"'!$E$29:$E$45"))-ROW(INDIRECT("'"&amp;$B7&amp;"'!$E$29"))+1)/--(IF(INDIRECT("'"&amp;$B7&amp;"'!$E$29:$E$45")&lt;&gt;"",1,0)), (ROW(INDIRECT("'"&amp;$B7&amp;"'!$E$29:$E$45"))-ROW(INDIRECT("'"&amp;$B7&amp;"'!$E$29"))+1)/--(FIND("VERIFICACIÓN: ", INDIRECT("'"&amp;$B7&amp;"'!$E$29:$E$45"))), 0))))),0))&lt;&gt;0,INDEX(INDIRECT("'"&amp;$B7&amp;"'!$A$29:$G$45"),MAX((IFERROR((ROW(INDIRECT("'"&amp;$B7&amp;"'!$E$29:$E$45"))-ROW(INDIRECT("'"&amp;$B7&amp;"'!$E$29"))+1)/--(IF(INDIRECT("'"&amp;$B7&amp;"'!$E$29:$E$45")&lt;&gt;"",1,0)),0))-(IFERROR((ROW(INDIRECT("'"&amp;$B7&amp;"'!$E$29:$E$45"))-ROW(INDIRECT("'"&amp;$B7&amp;"'!$E$29"))+1)/--(FIND("VERIFICACIÓN: ", INDIRECT("'"&amp;$B7&amp;"'!$E$29:$E$45"))),0))),1),0),IF(MAX((IFERROR((ROW(INDIRECT("'"&amp;$B7&amp;"'!$F$29:$F$45"))-ROW(INDIRECT("'"&amp;$B7&amp;"'!$F$29"))+1)/--(IF(INDIRECT("'"&amp;$B7&amp;"'!$F$29:$F$45")&lt;&gt;"",1,0)),0))-(IFERROR((ROW(INDIRECT("'"&amp;$B7&amp;"'!$F$29:$F$45"))-ROW(INDIRECT("'"&amp;$B7&amp;"'!$F$29"))+1)/--(FIND("VERIFICACIÓN: ", INDIRECT("'"&amp;$B7&amp;"'!$F$29:$F$45"))),0)))&lt;&gt;0,INDEX(INDIRECT("'"&amp;$B7&amp;"'!$A$29:$G$45"),MAX((IFERROR((ROW(INDIRECT("'"&amp;$B7&amp;"'!$F$29:$F$45"))-ROW(INDIRECT("'"&amp;$B7&amp;"'!$F$29"))+1)/--(IF(INDIRECT("'"&amp;$B7&amp;"'!$F$29:$F$45")&lt;&gt;"",1,0)),0))-(IFERROR((ROW(INDIRECT("'"&amp;$B7&amp;"'!$F$29:$F$45"))-ROW(INDIRECT("'"&amp;$B7&amp;"'!$F$29"))+1)/--(FIND("VERIFICACIÓN: ", INDIRECT("'"&amp;$B7&amp;"'!$F$29:$F$45"))),0))),1),0),IF(MAX(IFERROR((_xlfn._xlws.FILTER((ROW(INDIRECT("'"&amp;$B7&amp;"'!$E$29:$E$45"))-ROW(INDIRECT("'"&amp;$B7&amp;"'!$E$29"))+1)/--(IF(INDIRECT("'"&amp;$B7&amp;"'!$E$29:$E$45")&lt;&gt;"",1,0)), NOT(ISNUMBER(MATCH((ROW(INDIRECT("'"&amp;$B7&amp;"'!$E$29:$E$45"))-ROW(INDIRECT("'"&amp;$B7&amp;"'!$E$29"))+1)/--(IF(INDIRECT("'"&amp;$B7&amp;"'!$E$29:$E$45")&lt;&gt;"",1,0)), (ROW(INDIRECT("'"&amp;$B7&amp;"'!$E$29:$E$45"))-ROW(INDIRECT("'"&amp;$B7&amp;"'!$E$29"))+1)/--(FIND("VERIFICACIÓN: ", INDIRECT("'"&amp;$B7&amp;"'!$E$29:$E$45"))), 0))))),0))&lt;&gt;0,INDEX(INDIRECT("'"&amp;$B7&amp;"'!$A$29:$G$45"),MAX((IFERROR((ROW(INDIRECT("'"&amp;$B7&amp;"'!$E$29:$E$45"))-ROW(INDIRECT("'"&amp;$B7&amp;"'!$E$29"))+1)/--(IF(INDIRECT("'"&amp;$B7&amp;"'!$E$29:$E$45")&lt;&gt;"",1,0)),0))-(IFERROR((ROW(INDIRECT("'"&amp;$B7&amp;"'!$E$29:$E$45"))-ROW(INDIRECT("'"&amp;$B7&amp;"'!$E$29"))+1)/--(FIND("VERIFICACIÓN: ", INDIRECT("'"&amp;$B7&amp;"'!$E$29:$E$45"))),0))),1),0))</f>
        <v>44875</v>
      </c>
      <c r="S7" s="6" t="s">
        <v>70</v>
      </c>
      <c r="T7" s="7" t="str" cm="1">
        <f t="array" aca="1" ref="T7" ca="1">IF(IF(MAX((IFERROR((ROW(INDIRECT("'"&amp;$B7&amp;"'!$F$29:$F$45"))-ROW(INDIRECT("'"&amp;$B7&amp;"'!$F$29"))+1)/--(IF(INDIRECT("'"&amp;$B7&amp;"'!$F$29:$F$45")&lt;&gt;"",1,0)),0))-(IFERROR((ROW(INDIRECT("'"&amp;$B7&amp;"'!$F$29:$F$45"))-ROW(INDIRECT("'"&amp;$B7&amp;"'!$F$29"))+1)/--(FIND("VERIFICACIÓN: ", INDIRECT("'"&amp;$B7&amp;"'!$F$29:$F$45"))),0)))&lt;&gt;0,INDEX(INDIRECT("'"&amp;$B7&amp;"'!$A$29:$G$45"),MAX((IFERROR((ROW(INDIRECT("'"&amp;$B7&amp;"'!$F$29:$F$45"))-ROW(INDIRECT("'"&amp;$B7&amp;"'!$F$29"))+1)/--(IF(INDIRECT("'"&amp;$B7&amp;"'!$F$29:$F$45")&lt;&gt;"",1,0)),0))-(IFERROR((ROW(INDIRECT("'"&amp;$B7&amp;"'!$F$29:$F$45"))-ROW(INDIRECT("'"&amp;$B7&amp;"'!$F$29"))+1)/--(FIND("VERIFICACIÓN: ", INDIRECT("'"&amp;$B7&amp;"'!$F$29:$F$45"))),0))),1),0)&gt;IF(MAX(IFERROR((_xlfn._xlws.FILTER((ROW(INDIRECT("'"&amp;$B7&amp;"'!$E$29:$E$45"))-ROW(INDIRECT("'"&amp;$B7&amp;"'!$E$29"))+1)/--(IF(INDIRECT("'"&amp;$B7&amp;"'!$E$29:$E$45")&lt;&gt;"",1,0)), NOT(ISNUMBER(MATCH((ROW(INDIRECT("'"&amp;$B7&amp;"'!$E$29:$E$45"))-ROW(INDIRECT("'"&amp;$B7&amp;"'!$E$29"))+1)/--(IF(INDIRECT("'"&amp;$B7&amp;"'!$E$29:$E$45")&lt;&gt;"",1,0)), (ROW(INDIRECT("'"&amp;$B7&amp;"'!$E$29:$E$45"))-ROW(INDIRECT("'"&amp;$B7&amp;"'!$E$29"))+1)/--(FIND("VERIFICACIÓN: ", INDIRECT("'"&amp;$B7&amp;"'!$E$29:$E$45"))), 0))))),0))&lt;&gt;0,INDEX(INDIRECT("'"&amp;$B7&amp;"'!$A$29:$G$45"),MAX((IFERROR((ROW(INDIRECT("'"&amp;$B7&amp;"'!$E$29:$E$45"))-ROW(INDIRECT("'"&amp;$B7&amp;"'!$E$29"))+1)/--(IF(INDIRECT("'"&amp;$B7&amp;"'!$E$29:$E$45")&lt;&gt;"",1,0)),0))-(IFERROR((ROW(INDIRECT("'"&amp;$B7&amp;"'!$E$29:$E$45"))-ROW(INDIRECT("'"&amp;$B7&amp;"'!$E$29"))+1)/--(FIND("VERIFICACIÓN: ", INDIRECT("'"&amp;$B7&amp;"'!$E$29:$E$45"))),0))),1),0),IF(MAX((IFERROR((ROW(INDIRECT("'"&amp;$B7&amp;"'!$F$29:$F$45"))-ROW(INDIRECT("'"&amp;$B7&amp;"'!$F$29"))+1)/--(IF(INDIRECT("'"&amp;$B7&amp;"'!$F$29:$F$45")&lt;&gt;"",1,0)),0))-(IFERROR((ROW(INDIRECT("'"&amp;$B7&amp;"'!$F$29:$F$45"))-ROW(INDIRECT("'"&amp;$B7&amp;"'!$F$29"))+1)/--(FIND("VERIFICACIÓN: ", INDIRECT("'"&amp;$B7&amp;"'!$F$29:$F$45"))),0)))&lt;&gt;0,INDEX(INDIRECT("'"&amp;$B7&amp;"'!$A$29:$G$45"),MAX((IFERROR((ROW(INDIRECT("'"&amp;$B7&amp;"'!$F$29:$F$45"))-ROW(INDIRECT("'"&amp;$B7&amp;"'!$F$29"))+1)/--(IF(INDIRECT("'"&amp;$B7&amp;"'!$F$29:$F$45")&lt;&gt;"",1,0)),0))-(IFERROR((ROW(INDIRECT("'"&amp;$B7&amp;"'!$F$29:$F$45"))-ROW(INDIRECT("'"&amp;$B7&amp;"'!$F$29"))+1)/--(FIND("VERIFICACIÓN: ", INDIRECT("'"&amp;$B7&amp;"'!$F$29:$F$45"))),0))),6),"NO DISPONIBLE"),IF(MAX(IFERROR((_xlfn._xlws.FILTER((ROW(INDIRECT("'"&amp;$B7&amp;"'!$E$29:$E$45"))-ROW(INDIRECT("'"&amp;$B7&amp;"'!$E$29"))+1)/--(IF(INDIRECT("'"&amp;$B7&amp;"'!$E$29:$E$45")&lt;&gt;"",1,0)), NOT(ISNUMBER(MATCH((ROW(INDIRECT("'"&amp;$B7&amp;"'!$E$29:$E$45"))-ROW(INDIRECT("'"&amp;$B7&amp;"'!$E$29"))+1)/--(IF(INDIRECT("'"&amp;$B7&amp;"'!$E$29:$E$45")&lt;&gt;"",1,0)), (ROW(INDIRECT("'"&amp;$B7&amp;"'!$E$29:$E$45"))-ROW(INDIRECT("'"&amp;$B7&amp;"'!$E$29"))+1)/--(FIND("VERIFICACIÓN: ", INDIRECT("'"&amp;$B7&amp;"'!$E$29:$E$45"))), 0))))),0))&lt;&gt;0,INDEX(INDIRECT("'"&amp;$B7&amp;"'!$A$29:$G$45"),MAX((IFERROR((ROW(INDIRECT("'"&amp;$B7&amp;"'!$E$29:$E$45"))-ROW(INDIRECT("'"&amp;$B7&amp;"'!$E$29"))+1)/--(IF(INDIRECT("'"&amp;$B7&amp;"'!$E$29:$E$45")&lt;&gt;"",1,0)),0))-(IFERROR((ROW(INDIRECT("'"&amp;$B7&amp;"'!$E$29:$E$45"))-ROW(INDIRECT("'"&amp;$B7&amp;"'!$E$29"))+1)/--(FIND("VERIFICACIÓN: ", INDIRECT("'"&amp;$B7&amp;"'!$E$29:$E$45"))),0))),5),"NO DISPONIBLE"))</f>
        <v>M221582 / COLETRO</v>
      </c>
      <c r="U7" s="3" t="s">
        <v>69</v>
      </c>
      <c r="V7" s="5" cm="1">
        <f t="array" aca="1" ref="V7" ca="1">IF((IFERROR(VLOOKUP(IFERROR(LOOKUP(2,1/((INDIRECT("'"&amp;$B7&amp;"'!$F$29:$F$45"))&lt;&gt;""),(INDIRECT("'"&amp;$B7&amp;"'!$F$29:$F$45"))),"NO DISPONIBLE"),CHOOSE({1,2},(INDIRECT("'"&amp;$B7&amp;"'!$F$29:$F$45")),(INDIRECT("'"&amp;$B7&amp;"'!$A$29:$A$45"))),2,0),0))&gt;(IFERROR(VLOOKUP(IFERROR(LOOKUP(2,1/((INDIRECT("'"&amp;$B7&amp;"'!$E$29:$E$45"))&lt;&gt;""),(INDIRECT("'"&amp;$B7&amp;"'!$E$29:$E$45"))),"NO DISPONIBLE"),CHOOSE({1,2},(INDIRECT("'"&amp;$B7&amp;"'!$E$29:$E$45")),(INDIRECT("'"&amp;$B7&amp;"'!$A$29:$A$45"))),2,0),0)),(IFERROR(VLOOKUP(IFERROR(LOOKUP(2,1/((INDIRECT("'"&amp;$B7&amp;"'!$F$29:$F$45"))&lt;&gt;""),(INDIRECT("'"&amp;$B7&amp;"'!$F$29:$F$45"))),"NO DISPONIBLE"),CHOOSE({1,2},(INDIRECT("'"&amp;$B7&amp;"'!$F$29:$F$45")),(INDIRECT("'"&amp;$B7&amp;"'!$A$29:$A$45"))),2,0),0)),(IFERROR(VLOOKUP(IFERROR(LOOKUP(2,1/((INDIRECT("'"&amp;$B7&amp;"'!$E$29:$E$45"))&lt;&gt;""),(INDIRECT("'"&amp;$B7&amp;"'!$E$29:$E$45"))),"NO DISPONIBLE"),CHOOSE({1,2},(INDIRECT("'"&amp;$B7&amp;"'!$E$29:$E$45")),(INDIRECT("'"&amp;$B7&amp;"'!$A$29:$A$45"))),2,0),0)))</f>
        <v>44875</v>
      </c>
      <c r="W7" s="6" t="s">
        <v>70</v>
      </c>
      <c r="X7" s="7" t="str" cm="1">
        <f t="array" aca="1" ref="X7" ca="1">IF((IFERROR(VLOOKUP(IFERROR(LOOKUP(2,1/((INDIRECT("'"&amp;$B7&amp;"'!$E$29:$E$45"))&lt;&gt;""),(INDIRECT("'"&amp;$B7&amp;"'!$E$29:$E$45"))),"NO DISPONIBLE"),CHOOSE({1,2},(INDIRECT("'"&amp;$B7&amp;"'!$E$29:$E$45")),(INDIRECT("'"&amp;$B7&amp;"'!$A$29:$A$45"))),2,0),0))&gt;(IFERROR(VLOOKUP(IFERROR(LOOKUP(2,1/((INDIRECT("'"&amp;$B7&amp;"'!$F$29:$F$45"))&lt;&gt;""),(INDIRECT("'"&amp;$B7&amp;"'!$F$29:$F$45"))),"NO DISPONIBLE"),CHOOSE({1,2},(INDIRECT("'"&amp;$B7&amp;"'!$F$29:$F$45")),(INDIRECT("'"&amp;$B7&amp;"'!$A$29:$A$45"))),2,0),0)),IFERROR(LOOKUP(2,1/((INDIRECT("'"&amp;$B7&amp;"'!$E$29:$E$45"))&lt;&gt;""),(INDIRECT("'"&amp;$B7&amp;"'!$E$29:$E$45"))),"NO DISPONIBLE"),IFERROR(LOOKUP(2,1/((INDIRECT("'"&amp;$B7&amp;"'!$F$29:$F$45"))&lt;&gt;""),(INDIRECT("'"&amp;$B7&amp;"'!$F$29:$F$45"))),"NO DISPONIBLE"))</f>
        <v>M221582 / COLETRO</v>
      </c>
      <c r="Y7" s="3" t="s">
        <v>69</v>
      </c>
      <c r="Z7" s="5" cm="1">
        <f t="array" aca="1" ref="Z7" ca="1">IF((IFERROR(VLOOKUP(IFERROR(LOOKUP(2,1/((INDIRECT("'"&amp;$B7&amp;"'!$D$29:$D$45"))&lt;&gt;""),(INDIRECT("'"&amp;$B7&amp;"'!$D$29:$D$45"))),"NO DISPONIBLE"),CHOOSE({1,2},(INDIRECT("'"&amp;$B7&amp;"'!$D$29:$D$45")),(INDIRECT("'"&amp;$B7&amp;"'!$A$29:$A$45"))),2,0),0))&gt;(IFERROR(VLOOKUP(IFERROR(LOOKUP(2,1/((INDIRECT("'"&amp;$B7&amp;"'!$C$29:$C$45"))&lt;&gt;""),(INDIRECT("'"&amp;$B7&amp;"'!$C$29:$C$45"))),"NO DISPONIBLE"),CHOOSE({1,2},(INDIRECT("'"&amp;$B7&amp;"'!$C$29:$C$45")),(INDIRECT("'"&amp;$B7&amp;"'!$A$29:$A$45"))),2,0),0)),(IFERROR(VLOOKUP(IFERROR(LOOKUP(2,1/((INDIRECT("'"&amp;$B7&amp;"'!$D$29:$D$45"))&lt;&gt;""),(INDIRECT("'"&amp;$B7&amp;"'!$D$29:$D$45"))),"NO DISPONIBLE"),CHOOSE({1,2},(INDIRECT("'"&amp;$B7&amp;"'!$D$29:$D$45")),(INDIRECT("'"&amp;$B7&amp;"'!$A$29:$A$45"))),2,0),0)),(IFERROR(VLOOKUP(IFERROR(LOOKUP(2,1/((INDIRECT("'"&amp;$B7&amp;"'!$C$29:$C$45"))&lt;&gt;""),(INDIRECT("'"&amp;$B7&amp;"'!$C$29:$C$45"))),"NO DISPONIBLE"),CHOOSE({1,2},(INDIRECT("'"&amp;$B7&amp;"'!$C$29:$C$45")),(INDIRECT("'"&amp;$B7&amp;"'!$A$29:$A$45"))),2,0),0)))</f>
        <v>0</v>
      </c>
      <c r="AA7" s="6" t="s">
        <v>70</v>
      </c>
      <c r="AB7" s="7" t="str" cm="1">
        <f t="array" aca="1" ref="AB7" ca="1">IF((IFERROR(VLOOKUP(IFERROR(LOOKUP(2,1/((INDIRECT("'"&amp;$B7&amp;"'!$C$29:$C$45"))&lt;&gt;""),(INDIRECT("'"&amp;$B7&amp;"'!$C$29:$C$45"))),"NO DISPONIBLE"),CHOOSE({1,2},(INDIRECT("'"&amp;$B7&amp;"'!$C$29:$C$45")),(INDIRECT("'"&amp;$B7&amp;"'!$A$29:$A$45"))),2,0),0))&gt;(IFERROR(VLOOKUP(IFERROR(LOOKUP(2,1/((INDIRECT("'"&amp;$B7&amp;"'!$D$29:$D$45"))&lt;&gt;""),(INDIRECT("'"&amp;$B7&amp;"'!$D$29:$D$45"))),"NO DISPONIBLE"),CHOOSE({1,2},(INDIRECT("'"&amp;$B7&amp;"'!$D$29:$D$45")),(INDIRECT("'"&amp;$B7&amp;"'!$A$29:$A$45"))),2,0),0)),IFERROR(LOOKUP(2,1/((INDIRECT("'"&amp;$B7&amp;"'!$C$29:$C$45"))&lt;&gt;""),(INDIRECT("'"&amp;$B7&amp;"'!$C$29:$C$45"))),"NO DISPONIBLE"),IFERROR(LOOKUP(2,1/((INDIRECT("'"&amp;$B7&amp;"'!$D$29:$D$45"))&lt;&gt;""),(INDIRECT("'"&amp;$B7&amp;"'!$D$29:$D$45"))),"NO DISPONIBLE"))</f>
        <v>NO DISPONIBLE</v>
      </c>
      <c r="AC7" s="6" t="s">
        <v>82</v>
      </c>
      <c r="AD7" s="8"/>
    </row>
    <row r="8" spans="1:32" x14ac:dyDescent="0.3">
      <c r="A8" s="2" t="s">
        <v>23</v>
      </c>
      <c r="B8" s="2" t="str" cm="1">
        <f t="array" aca="1" ref="B8" ca="1">INDIRECT("'"&amp;$B8&amp;"'!$A$6")</f>
        <v>CINTA MÉTRICA</v>
      </c>
      <c r="C8" s="3" t="str" cm="1">
        <f t="array" aca="1" ref="C8" ca="1">INDIRECT("'"&amp;$B8&amp;"'!$G$14")</f>
        <v>REDLINE</v>
      </c>
      <c r="D8" s="3" t="str" cm="1">
        <f t="array" aca="1" ref="D8" ca="1">INDIRECT("'"&amp;$B8&amp;"'!$G$15")</f>
        <v>264G5HA</v>
      </c>
      <c r="E8" s="24" cm="1">
        <f t="array" aca="1" ref="E8" ca="1">INDIRECT("'"&amp;$B8&amp;"'!$G$16")</f>
        <v>7807999356643</v>
      </c>
      <c r="F8" s="3" t="s">
        <v>65</v>
      </c>
      <c r="G8" s="3" t="s">
        <v>67</v>
      </c>
      <c r="H8" s="3" t="str" cm="1">
        <f t="array" aca="1" ref="H8" ca="1">INDIRECT("'"&amp;$B8&amp;"'!$G$11")</f>
        <v>LONGITUD</v>
      </c>
      <c r="I8" s="3" t="str" cm="1">
        <f t="array" aca="1" ref="I8" ca="1">INDIRECT("'"&amp;$B8&amp;"'!$C$11")</f>
        <v>MEDIA</v>
      </c>
      <c r="J8" s="3" t="str" cm="1">
        <f t="array" aca="1" ref="J8" ca="1">INDIRECT("'"&amp;$B8&amp;"'!$G$21")</f>
        <v>50 m</v>
      </c>
      <c r="K8" s="3" t="str" cm="1">
        <f t="array" aca="1" ref="K8" ca="1">INDIRECT("'"&amp;$B8&amp;"'!$G$22")</f>
        <v>1 mm</v>
      </c>
      <c r="L8" s="3" t="str" cm="1">
        <f t="array" aca="1" ref="L8" ca="1">INDIRECT("'"&amp;$B8&amp;"'!$G$23")</f>
        <v>1 mm</v>
      </c>
      <c r="M8" s="4"/>
      <c r="N8" s="3" t="str" cm="1">
        <f t="array" aca="1" ref="N8" ca="1">INDIRECT("'"&amp;$B8&amp;"'!$G$22")</f>
        <v>1 mm</v>
      </c>
      <c r="O8" s="3"/>
      <c r="P8" s="7" t="str" cm="1">
        <f t="array" aca="1" ref="P8" ca="1">IFERROR(LOOKUP(2,1/((INDIRECT("'"&amp;$B8&amp;"'!$G$29:$G$45"))&lt;&gt;""),(INDIRECT("'"&amp;$B8&amp;"'!$G$29:$G$45"))),"NO DISPONIBLE")</f>
        <v>FUNCIONAL</v>
      </c>
      <c r="Q8" s="3">
        <v>36</v>
      </c>
      <c r="R8" s="5" cm="1">
        <f t="array" aca="1" ref="R8" ca="1">IF(IF(MAX((IFERROR((ROW(INDIRECT("'"&amp;$B8&amp;"'!$F$29:$F$45"))-ROW(INDIRECT("'"&amp;$B8&amp;"'!$F$29"))+1)/--(IF(INDIRECT("'"&amp;$B8&amp;"'!$F$29:$F$45")&lt;&gt;"",1,0)),0))-(IFERROR((ROW(INDIRECT("'"&amp;$B8&amp;"'!$F$29:$F$45"))-ROW(INDIRECT("'"&amp;$B8&amp;"'!$F$29"))+1)/--(FIND("VERIFICACIÓN: ", INDIRECT("'"&amp;$B8&amp;"'!$F$29:$F$45"))),0)))&lt;&gt;0,INDEX(INDIRECT("'"&amp;$B8&amp;"'!$A$29:$G$45"),MAX((IFERROR((ROW(INDIRECT("'"&amp;$B8&amp;"'!$F$29:$F$45"))-ROW(INDIRECT("'"&amp;$B8&amp;"'!$F$29"))+1)/--(IF(INDIRECT("'"&amp;$B8&amp;"'!$F$29:$F$45")&lt;&gt;"",1,0)),0))-(IFERROR((ROW(INDIRECT("'"&amp;$B8&amp;"'!$F$29:$F$45"))-ROW(INDIRECT("'"&amp;$B8&amp;"'!$F$29"))+1)/--(FIND("VERIFICACIÓN: ", INDIRECT("'"&amp;$B8&amp;"'!$F$29:$F$45"))),0))),1),0)&gt;IF(MAX(IFERROR((_xlfn._xlws.FILTER((ROW(INDIRECT("'"&amp;$B8&amp;"'!$E$29:$E$45"))-ROW(INDIRECT("'"&amp;$B8&amp;"'!$E$29"))+1)/--(IF(INDIRECT("'"&amp;$B8&amp;"'!$E$29:$E$45")&lt;&gt;"",1,0)), NOT(ISNUMBER(MATCH((ROW(INDIRECT("'"&amp;$B8&amp;"'!$E$29:$E$45"))-ROW(INDIRECT("'"&amp;$B8&amp;"'!$E$29"))+1)/--(IF(INDIRECT("'"&amp;$B8&amp;"'!$E$29:$E$45")&lt;&gt;"",1,0)), (ROW(INDIRECT("'"&amp;$B8&amp;"'!$E$29:$E$45"))-ROW(INDIRECT("'"&amp;$B8&amp;"'!$E$29"))+1)/--(FIND("VERIFICACIÓN: ", INDIRECT("'"&amp;$B8&amp;"'!$E$29:$E$45"))), 0))))),0))&lt;&gt;0,INDEX(INDIRECT("'"&amp;$B8&amp;"'!$A$29:$G$45"),MAX((IFERROR((ROW(INDIRECT("'"&amp;$B8&amp;"'!$E$29:$E$45"))-ROW(INDIRECT("'"&amp;$B8&amp;"'!$E$29"))+1)/--(IF(INDIRECT("'"&amp;$B8&amp;"'!$E$29:$E$45")&lt;&gt;"",1,0)),0))-(IFERROR((ROW(INDIRECT("'"&amp;$B8&amp;"'!$E$29:$E$45"))-ROW(INDIRECT("'"&amp;$B8&amp;"'!$E$29"))+1)/--(FIND("VERIFICACIÓN: ", INDIRECT("'"&amp;$B8&amp;"'!$E$29:$E$45"))),0))),1),0),IF(MAX((IFERROR((ROW(INDIRECT("'"&amp;$B8&amp;"'!$F$29:$F$45"))-ROW(INDIRECT("'"&amp;$B8&amp;"'!$F$29"))+1)/--(IF(INDIRECT("'"&amp;$B8&amp;"'!$F$29:$F$45")&lt;&gt;"",1,0)),0))-(IFERROR((ROW(INDIRECT("'"&amp;$B8&amp;"'!$F$29:$F$45"))-ROW(INDIRECT("'"&amp;$B8&amp;"'!$F$29"))+1)/--(FIND("VERIFICACIÓN: ", INDIRECT("'"&amp;$B8&amp;"'!$F$29:$F$45"))),0)))&lt;&gt;0,INDEX(INDIRECT("'"&amp;$B8&amp;"'!$A$29:$G$45"),MAX((IFERROR((ROW(INDIRECT("'"&amp;$B8&amp;"'!$F$29:$F$45"))-ROW(INDIRECT("'"&amp;$B8&amp;"'!$F$29"))+1)/--(IF(INDIRECT("'"&amp;$B8&amp;"'!$F$29:$F$45")&lt;&gt;"",1,0)),0))-(IFERROR((ROW(INDIRECT("'"&amp;$B8&amp;"'!$F$29:$F$45"))-ROW(INDIRECT("'"&amp;$B8&amp;"'!$F$29"))+1)/--(FIND("VERIFICACIÓN: ", INDIRECT("'"&amp;$B8&amp;"'!$F$29:$F$45"))),0))),1),0),IF(MAX(IFERROR((_xlfn._xlws.FILTER((ROW(INDIRECT("'"&amp;$B8&amp;"'!$E$29:$E$45"))-ROW(INDIRECT("'"&amp;$B8&amp;"'!$E$29"))+1)/--(IF(INDIRECT("'"&amp;$B8&amp;"'!$E$29:$E$45")&lt;&gt;"",1,0)), NOT(ISNUMBER(MATCH((ROW(INDIRECT("'"&amp;$B8&amp;"'!$E$29:$E$45"))-ROW(INDIRECT("'"&amp;$B8&amp;"'!$E$29"))+1)/--(IF(INDIRECT("'"&amp;$B8&amp;"'!$E$29:$E$45")&lt;&gt;"",1,0)), (ROW(INDIRECT("'"&amp;$B8&amp;"'!$E$29:$E$45"))-ROW(INDIRECT("'"&amp;$B8&amp;"'!$E$29"))+1)/--(FIND("VERIFICACIÓN: ", INDIRECT("'"&amp;$B8&amp;"'!$E$29:$E$45"))), 0))))),0))&lt;&gt;0,INDEX(INDIRECT("'"&amp;$B8&amp;"'!$A$29:$G$45"),MAX((IFERROR((ROW(INDIRECT("'"&amp;$B8&amp;"'!$E$29:$E$45"))-ROW(INDIRECT("'"&amp;$B8&amp;"'!$E$29"))+1)/--(IF(INDIRECT("'"&amp;$B8&amp;"'!$E$29:$E$45")&lt;&gt;"",1,0)),0))-(IFERROR((ROW(INDIRECT("'"&amp;$B8&amp;"'!$E$29:$E$45"))-ROW(INDIRECT("'"&amp;$B8&amp;"'!$E$29"))+1)/--(FIND("VERIFICACIÓN: ", INDIRECT("'"&amp;$B8&amp;"'!$E$29:$E$45"))),0))),1),0))</f>
        <v>45634</v>
      </c>
      <c r="S8" s="6" t="s">
        <v>68</v>
      </c>
      <c r="T8" s="7" t="str" cm="1">
        <f t="array" aca="1" ref="T8" ca="1">IF(IF(MAX((IFERROR((ROW(INDIRECT("'"&amp;$B8&amp;"'!$F$29:$F$45"))-ROW(INDIRECT("'"&amp;$B8&amp;"'!$F$29"))+1)/--(IF(INDIRECT("'"&amp;$B8&amp;"'!$F$29:$F$45")&lt;&gt;"",1,0)),0))-(IFERROR((ROW(INDIRECT("'"&amp;$B8&amp;"'!$F$29:$F$45"))-ROW(INDIRECT("'"&amp;$B8&amp;"'!$F$29"))+1)/--(FIND("VERIFICACIÓN: ", INDIRECT("'"&amp;$B8&amp;"'!$F$29:$F$45"))),0)))&lt;&gt;0,INDEX(INDIRECT("'"&amp;$B8&amp;"'!$A$29:$G$45"),MAX((IFERROR((ROW(INDIRECT("'"&amp;$B8&amp;"'!$F$29:$F$45"))-ROW(INDIRECT("'"&amp;$B8&amp;"'!$F$29"))+1)/--(IF(INDIRECT("'"&amp;$B8&amp;"'!$F$29:$F$45")&lt;&gt;"",1,0)),0))-(IFERROR((ROW(INDIRECT("'"&amp;$B8&amp;"'!$F$29:$F$45"))-ROW(INDIRECT("'"&amp;$B8&amp;"'!$F$29"))+1)/--(FIND("VERIFICACIÓN: ", INDIRECT("'"&amp;$B8&amp;"'!$F$29:$F$45"))),0))),1),0)&gt;IF(MAX(IFERROR((_xlfn._xlws.FILTER((ROW(INDIRECT("'"&amp;$B8&amp;"'!$E$29:$E$45"))-ROW(INDIRECT("'"&amp;$B8&amp;"'!$E$29"))+1)/--(IF(INDIRECT("'"&amp;$B8&amp;"'!$E$29:$E$45")&lt;&gt;"",1,0)), NOT(ISNUMBER(MATCH((ROW(INDIRECT("'"&amp;$B8&amp;"'!$E$29:$E$45"))-ROW(INDIRECT("'"&amp;$B8&amp;"'!$E$29"))+1)/--(IF(INDIRECT("'"&amp;$B8&amp;"'!$E$29:$E$45")&lt;&gt;"",1,0)), (ROW(INDIRECT("'"&amp;$B8&amp;"'!$E$29:$E$45"))-ROW(INDIRECT("'"&amp;$B8&amp;"'!$E$29"))+1)/--(FIND("VERIFICACIÓN: ", INDIRECT("'"&amp;$B8&amp;"'!$E$29:$E$45"))), 0))))),0))&lt;&gt;0,INDEX(INDIRECT("'"&amp;$B8&amp;"'!$A$29:$G$45"),MAX((IFERROR((ROW(INDIRECT("'"&amp;$B8&amp;"'!$E$29:$E$45"))-ROW(INDIRECT("'"&amp;$B8&amp;"'!$E$29"))+1)/--(IF(INDIRECT("'"&amp;$B8&amp;"'!$E$29:$E$45")&lt;&gt;"",1,0)),0))-(IFERROR((ROW(INDIRECT("'"&amp;$B8&amp;"'!$E$29:$E$45"))-ROW(INDIRECT("'"&amp;$B8&amp;"'!$E$29"))+1)/--(FIND("VERIFICACIÓN: ", INDIRECT("'"&amp;$B8&amp;"'!$E$29:$E$45"))),0))),1),0),IF(MAX((IFERROR((ROW(INDIRECT("'"&amp;$B8&amp;"'!$F$29:$F$45"))-ROW(INDIRECT("'"&amp;$B8&amp;"'!$F$29"))+1)/--(IF(INDIRECT("'"&amp;$B8&amp;"'!$F$29:$F$45")&lt;&gt;"",1,0)),0))-(IFERROR((ROW(INDIRECT("'"&amp;$B8&amp;"'!$F$29:$F$45"))-ROW(INDIRECT("'"&amp;$B8&amp;"'!$F$29"))+1)/--(FIND("VERIFICACIÓN: ", INDIRECT("'"&amp;$B8&amp;"'!$F$29:$F$45"))),0)))&lt;&gt;0,INDEX(INDIRECT("'"&amp;$B8&amp;"'!$A$29:$G$45"),MAX((IFERROR((ROW(INDIRECT("'"&amp;$B8&amp;"'!$F$29:$F$45"))-ROW(INDIRECT("'"&amp;$B8&amp;"'!$F$29"))+1)/--(IF(INDIRECT("'"&amp;$B8&amp;"'!$F$29:$F$45")&lt;&gt;"",1,0)),0))-(IFERROR((ROW(INDIRECT("'"&amp;$B8&amp;"'!$F$29:$F$45"))-ROW(INDIRECT("'"&amp;$B8&amp;"'!$F$29"))+1)/--(FIND("VERIFICACIÓN: ", INDIRECT("'"&amp;$B8&amp;"'!$F$29:$F$45"))),0))),6),"NO DISPONIBLE"),IF(MAX(IFERROR((_xlfn._xlws.FILTER((ROW(INDIRECT("'"&amp;$B8&amp;"'!$E$29:$E$45"))-ROW(INDIRECT("'"&amp;$B8&amp;"'!$E$29"))+1)/--(IF(INDIRECT("'"&amp;$B8&amp;"'!$E$29:$E$45")&lt;&gt;"",1,0)), NOT(ISNUMBER(MATCH((ROW(INDIRECT("'"&amp;$B8&amp;"'!$E$29:$E$45"))-ROW(INDIRECT("'"&amp;$B8&amp;"'!$E$29"))+1)/--(IF(INDIRECT("'"&amp;$B8&amp;"'!$E$29:$E$45")&lt;&gt;"",1,0)), (ROW(INDIRECT("'"&amp;$B8&amp;"'!$E$29:$E$45"))-ROW(INDIRECT("'"&amp;$B8&amp;"'!$E$29"))+1)/--(FIND("VERIFICACIÓN: ", INDIRECT("'"&amp;$B8&amp;"'!$E$29:$E$45"))), 0))))),0))&lt;&gt;0,INDEX(INDIRECT("'"&amp;$B8&amp;"'!$A$29:$G$45"),MAX((IFERROR((ROW(INDIRECT("'"&amp;$B8&amp;"'!$E$29:$E$45"))-ROW(INDIRECT("'"&amp;$B8&amp;"'!$E$29"))+1)/--(IF(INDIRECT("'"&amp;$B8&amp;"'!$E$29:$E$45")&lt;&gt;"",1,0)),0))-(IFERROR((ROW(INDIRECT("'"&amp;$B8&amp;"'!$E$29:$E$45"))-ROW(INDIRECT("'"&amp;$B8&amp;"'!$E$29"))+1)/--(FIND("VERIFICACIÓN: ", INDIRECT("'"&amp;$B8&amp;"'!$E$29:$E$45"))),0))),5),"NO DISPONIBLE"))</f>
        <v>MJM</v>
      </c>
      <c r="U8" s="3">
        <v>12</v>
      </c>
      <c r="V8" s="5" cm="1">
        <f t="array" aca="1" ref="V8" ca="1">IF((IFERROR(VLOOKUP(IFERROR(LOOKUP(2,1/((INDIRECT("'"&amp;$B8&amp;"'!$F$29:$F$45"))&lt;&gt;""),(INDIRECT("'"&amp;$B8&amp;"'!$F$29:$F$45"))),"NO DISPONIBLE"),CHOOSE({1,2},(INDIRECT("'"&amp;$B8&amp;"'!$F$29:$F$45")),(INDIRECT("'"&amp;$B8&amp;"'!$A$29:$A$45"))),2,0),0))&gt;(IFERROR(VLOOKUP(IFERROR(LOOKUP(2,1/((INDIRECT("'"&amp;$B8&amp;"'!$E$29:$E$45"))&lt;&gt;""),(INDIRECT("'"&amp;$B8&amp;"'!$E$29:$E$45"))),"NO DISPONIBLE"),CHOOSE({1,2},(INDIRECT("'"&amp;$B8&amp;"'!$E$29:$E$45")),(INDIRECT("'"&amp;$B8&amp;"'!$A$29:$A$45"))),2,0),0)),(IFERROR(VLOOKUP(IFERROR(LOOKUP(2,1/((INDIRECT("'"&amp;$B8&amp;"'!$F$29:$F$45"))&lt;&gt;""),(INDIRECT("'"&amp;$B8&amp;"'!$F$29:$F$45"))),"NO DISPONIBLE"),CHOOSE({1,2},(INDIRECT("'"&amp;$B8&amp;"'!$F$29:$F$45")),(INDIRECT("'"&amp;$B8&amp;"'!$A$29:$A$45"))),2,0),0)),(IFERROR(VLOOKUP(IFERROR(LOOKUP(2,1/((INDIRECT("'"&amp;$B8&amp;"'!$E$29:$E$45"))&lt;&gt;""),(INDIRECT("'"&amp;$B8&amp;"'!$E$29:$E$45"))),"NO DISPONIBLE"),CHOOSE({1,2},(INDIRECT("'"&amp;$B8&amp;"'!$E$29:$E$45")),(INDIRECT("'"&amp;$B8&amp;"'!$A$29:$A$45"))),2,0),0)))</f>
        <v>45634</v>
      </c>
      <c r="W8" s="6" t="s">
        <v>71</v>
      </c>
      <c r="X8" s="7" t="str" cm="1">
        <f t="array" aca="1" ref="X8" ca="1">IF((IFERROR(VLOOKUP(IFERROR(LOOKUP(2,1/((INDIRECT("'"&amp;$B8&amp;"'!$E$29:$E$45"))&lt;&gt;""),(INDIRECT("'"&amp;$B8&amp;"'!$E$29:$E$45"))),"NO DISPONIBLE"),CHOOSE({1,2},(INDIRECT("'"&amp;$B8&amp;"'!$E$29:$E$45")),(INDIRECT("'"&amp;$B8&amp;"'!$A$29:$A$45"))),2,0),0))&gt;(IFERROR(VLOOKUP(IFERROR(LOOKUP(2,1/((INDIRECT("'"&amp;$B8&amp;"'!$F$29:$F$45"))&lt;&gt;""),(INDIRECT("'"&amp;$B8&amp;"'!$F$29:$F$45"))),"NO DISPONIBLE"),CHOOSE({1,2},(INDIRECT("'"&amp;$B8&amp;"'!$F$29:$F$45")),(INDIRECT("'"&amp;$B8&amp;"'!$A$29:$A$45"))),2,0),0)),IFERROR(LOOKUP(2,1/((INDIRECT("'"&amp;$B8&amp;"'!$E$29:$E$45"))&lt;&gt;""),(INDIRECT("'"&amp;$B8&amp;"'!$E$29:$E$45"))),"NO DISPONIBLE"),IFERROR(LOOKUP(2,1/((INDIRECT("'"&amp;$B8&amp;"'!$F$29:$F$45"))&lt;&gt;""),(INDIRECT("'"&amp;$B8&amp;"'!$F$29:$F$45"))),"NO DISPONIBLE"))</f>
        <v>MJM</v>
      </c>
      <c r="Y8" s="3">
        <v>36</v>
      </c>
      <c r="Z8" s="5" cm="1">
        <f t="array" aca="1" ref="Z8" ca="1">IF((IFERROR(VLOOKUP(IFERROR(LOOKUP(2,1/((INDIRECT("'"&amp;$B8&amp;"'!$D$29:$D$45"))&lt;&gt;""),(INDIRECT("'"&amp;$B8&amp;"'!$D$29:$D$45"))),"NO DISPONIBLE"),CHOOSE({1,2},(INDIRECT("'"&amp;$B8&amp;"'!$D$29:$D$45")),(INDIRECT("'"&amp;$B8&amp;"'!$A$29:$A$45"))),2,0),0))&gt;(IFERROR(VLOOKUP(IFERROR(LOOKUP(2,1/((INDIRECT("'"&amp;$B8&amp;"'!$C$29:$C$45"))&lt;&gt;""),(INDIRECT("'"&amp;$B8&amp;"'!$C$29:$C$45"))),"NO DISPONIBLE"),CHOOSE({1,2},(INDIRECT("'"&amp;$B8&amp;"'!$C$29:$C$45")),(INDIRECT("'"&amp;$B8&amp;"'!$A$29:$A$45"))),2,0),0)),(IFERROR(VLOOKUP(IFERROR(LOOKUP(2,1/((INDIRECT("'"&amp;$B8&amp;"'!$D$29:$D$45"))&lt;&gt;""),(INDIRECT("'"&amp;$B8&amp;"'!$D$29:$D$45"))),"NO DISPONIBLE"),CHOOSE({1,2},(INDIRECT("'"&amp;$B8&amp;"'!$D$29:$D$45")),(INDIRECT("'"&amp;$B8&amp;"'!$A$29:$A$45"))),2,0),0)),(IFERROR(VLOOKUP(IFERROR(LOOKUP(2,1/((INDIRECT("'"&amp;$B8&amp;"'!$C$29:$C$45"))&lt;&gt;""),(INDIRECT("'"&amp;$B8&amp;"'!$C$29:$C$45"))),"NO DISPONIBLE"),CHOOSE({1,2},(INDIRECT("'"&amp;$B8&amp;"'!$C$29:$C$45")),(INDIRECT("'"&amp;$B8&amp;"'!$A$29:$A$45"))),2,0),0)))</f>
        <v>44862</v>
      </c>
      <c r="AA8" s="6" t="s">
        <v>72</v>
      </c>
      <c r="AB8" s="7" t="str" cm="1">
        <f t="array" aca="1" ref="AB8" ca="1">IF((IFERROR(VLOOKUP(IFERROR(LOOKUP(2,1/((INDIRECT("'"&amp;$B8&amp;"'!$C$29:$C$45"))&lt;&gt;""),(INDIRECT("'"&amp;$B8&amp;"'!$C$29:$C$45"))),"NO DISPONIBLE"),CHOOSE({1,2},(INDIRECT("'"&amp;$B8&amp;"'!$C$29:$C$45")),(INDIRECT("'"&amp;$B8&amp;"'!$A$29:$A$45"))),2,0),0))&gt;(IFERROR(VLOOKUP(IFERROR(LOOKUP(2,1/((INDIRECT("'"&amp;$B8&amp;"'!$D$29:$D$45"))&lt;&gt;""),(INDIRECT("'"&amp;$B8&amp;"'!$D$29:$D$45"))),"NO DISPONIBLE"),CHOOSE({1,2},(INDIRECT("'"&amp;$B8&amp;"'!$D$29:$D$45")),(INDIRECT("'"&amp;$B8&amp;"'!$A$29:$A$45"))),2,0),0)),IFERROR(LOOKUP(2,1/((INDIRECT("'"&amp;$B8&amp;"'!$C$29:$C$45"))&lt;&gt;""),(INDIRECT("'"&amp;$B8&amp;"'!$C$29:$C$45"))),"NO DISPONIBLE"),IFERROR(LOOKUP(2,1/((INDIRECT("'"&amp;$B8&amp;"'!$D$29:$D$45"))&lt;&gt;""),(INDIRECT("'"&amp;$B8&amp;"'!$D$29:$D$45"))),"NO DISPONIBLE"))</f>
        <v>NUEVO</v>
      </c>
      <c r="AC8" s="6" t="s">
        <v>82</v>
      </c>
      <c r="AD8" s="8"/>
    </row>
    <row r="9" spans="1:32" x14ac:dyDescent="0.3">
      <c r="A9" s="2" t="s">
        <v>24</v>
      </c>
      <c r="B9" s="2" t="str" cm="1">
        <f t="array" aca="1" ref="B9" ca="1">INDIRECT("'"&amp;$B9&amp;"'!$A$6")</f>
        <v xml:space="preserve">PINZA VOLTIAMPERIMETRICA </v>
      </c>
      <c r="C9" s="3" t="str" cm="1">
        <f t="array" aca="1" ref="C9" ca="1">INDIRECT("'"&amp;$B9&amp;"'!$G$14")</f>
        <v>UNI-T</v>
      </c>
      <c r="D9" s="3" t="str" cm="1">
        <f t="array" aca="1" ref="D9" ca="1">INDIRECT("'"&amp;$B9&amp;"'!$G$15")</f>
        <v>UT203</v>
      </c>
      <c r="E9" s="24" cm="1">
        <f t="array" aca="1" ref="E9" ca="1">INDIRECT("'"&amp;$B9&amp;"'!$G$16")</f>
        <v>1131013341</v>
      </c>
      <c r="F9" s="3" t="s">
        <v>65</v>
      </c>
      <c r="G9" s="3" t="s">
        <v>67</v>
      </c>
      <c r="H9" s="3" t="str" cm="1">
        <f t="array" aca="1" ref="H9" ca="1">INDIRECT("'"&amp;$B9&amp;"'!$G$11")</f>
        <v xml:space="preserve">ELÉCTRICAS </v>
      </c>
      <c r="I9" s="3" t="str" cm="1">
        <f t="array" aca="1" ref="I9" ca="1">INDIRECT("'"&amp;$B9&amp;"'!$C$11")</f>
        <v>ALTA</v>
      </c>
      <c r="J9" s="3" t="str" cm="1">
        <f t="array" aca="1" ref="J9" ca="1">INDIRECT("'"&amp;$B9&amp;"'!$G$21")</f>
        <v>400 A</v>
      </c>
      <c r="K9" s="3" t="str" cm="1">
        <f t="array" aca="1" ref="K9" ca="1">INDIRECT("'"&amp;$B9&amp;"'!$G$22")</f>
        <v>10 mA</v>
      </c>
      <c r="L9" s="3" t="str" cm="1">
        <f t="array" aca="1" ref="L9" ca="1">INDIRECT("'"&amp;$B9&amp;"'!$G$23")</f>
        <v>10 mA</v>
      </c>
      <c r="M9" s="4"/>
      <c r="N9" s="3" t="str" cm="1">
        <f t="array" aca="1" ref="N9" ca="1">INDIRECT("'"&amp;$B9&amp;"'!$G$22")</f>
        <v>10 mA</v>
      </c>
      <c r="O9" s="3"/>
      <c r="P9" s="7" t="str" cm="1">
        <f t="array" aca="1" ref="P9" ca="1">IFERROR(LOOKUP(2,1/((INDIRECT("'"&amp;$B9&amp;"'!$G$29:$G$45"))&lt;&gt;""),(INDIRECT("'"&amp;$B9&amp;"'!$G$29:$G$45"))),"NO DISPONIBLE")</f>
        <v>FUNCIONAL</v>
      </c>
      <c r="Q9" s="3">
        <v>36</v>
      </c>
      <c r="R9" s="5" cm="1">
        <f t="array" aca="1" ref="R9" ca="1">IF(IF(MAX((IFERROR((ROW(INDIRECT("'"&amp;$B9&amp;"'!$F$29:$F$45"))-ROW(INDIRECT("'"&amp;$B9&amp;"'!$F$29"))+1)/--(IF(INDIRECT("'"&amp;$B9&amp;"'!$F$29:$F$45")&lt;&gt;"",1,0)),0))-(IFERROR((ROW(INDIRECT("'"&amp;$B9&amp;"'!$F$29:$F$45"))-ROW(INDIRECT("'"&amp;$B9&amp;"'!$F$29"))+1)/--(FIND("VERIFICACIÓN: ", INDIRECT("'"&amp;$B9&amp;"'!$F$29:$F$45"))),0)))&lt;&gt;0,INDEX(INDIRECT("'"&amp;$B9&amp;"'!$A$29:$G$45"),MAX((IFERROR((ROW(INDIRECT("'"&amp;$B9&amp;"'!$F$29:$F$45"))-ROW(INDIRECT("'"&amp;$B9&amp;"'!$F$29"))+1)/--(IF(INDIRECT("'"&amp;$B9&amp;"'!$F$29:$F$45")&lt;&gt;"",1,0)),0))-(IFERROR((ROW(INDIRECT("'"&amp;$B9&amp;"'!$F$29:$F$45"))-ROW(INDIRECT("'"&amp;$B9&amp;"'!$F$29"))+1)/--(FIND("VERIFICACIÓN: ", INDIRECT("'"&amp;$B9&amp;"'!$F$29:$F$45"))),0))),1),0)&gt;IF(MAX(IFERROR((_xlfn._xlws.FILTER((ROW(INDIRECT("'"&amp;$B9&amp;"'!$E$29:$E$45"))-ROW(INDIRECT("'"&amp;$B9&amp;"'!$E$29"))+1)/--(IF(INDIRECT("'"&amp;$B9&amp;"'!$E$29:$E$45")&lt;&gt;"",1,0)), NOT(ISNUMBER(MATCH((ROW(INDIRECT("'"&amp;$B9&amp;"'!$E$29:$E$45"))-ROW(INDIRECT("'"&amp;$B9&amp;"'!$E$29"))+1)/--(IF(INDIRECT("'"&amp;$B9&amp;"'!$E$29:$E$45")&lt;&gt;"",1,0)), (ROW(INDIRECT("'"&amp;$B9&amp;"'!$E$29:$E$45"))-ROW(INDIRECT("'"&amp;$B9&amp;"'!$E$29"))+1)/--(FIND("VERIFICACIÓN: ", INDIRECT("'"&amp;$B9&amp;"'!$E$29:$E$45"))), 0))))),0))&lt;&gt;0,INDEX(INDIRECT("'"&amp;$B9&amp;"'!$A$29:$G$45"),MAX((IFERROR((ROW(INDIRECT("'"&amp;$B9&amp;"'!$E$29:$E$45"))-ROW(INDIRECT("'"&amp;$B9&amp;"'!$E$29"))+1)/--(IF(INDIRECT("'"&amp;$B9&amp;"'!$E$29:$E$45")&lt;&gt;"",1,0)),0))-(IFERROR((ROW(INDIRECT("'"&amp;$B9&amp;"'!$E$29:$E$45"))-ROW(INDIRECT("'"&amp;$B9&amp;"'!$E$29"))+1)/--(FIND("VERIFICACIÓN: ", INDIRECT("'"&amp;$B9&amp;"'!$E$29:$E$45"))),0))),1),0),IF(MAX((IFERROR((ROW(INDIRECT("'"&amp;$B9&amp;"'!$F$29:$F$45"))-ROW(INDIRECT("'"&amp;$B9&amp;"'!$F$29"))+1)/--(IF(INDIRECT("'"&amp;$B9&amp;"'!$F$29:$F$45")&lt;&gt;"",1,0)),0))-(IFERROR((ROW(INDIRECT("'"&amp;$B9&amp;"'!$F$29:$F$45"))-ROW(INDIRECT("'"&amp;$B9&amp;"'!$F$29"))+1)/--(FIND("VERIFICACIÓN: ", INDIRECT("'"&amp;$B9&amp;"'!$F$29:$F$45"))),0)))&lt;&gt;0,INDEX(INDIRECT("'"&amp;$B9&amp;"'!$A$29:$G$45"),MAX((IFERROR((ROW(INDIRECT("'"&amp;$B9&amp;"'!$F$29:$F$45"))-ROW(INDIRECT("'"&amp;$B9&amp;"'!$F$29"))+1)/--(IF(INDIRECT("'"&amp;$B9&amp;"'!$F$29:$F$45")&lt;&gt;"",1,0)),0))-(IFERROR((ROW(INDIRECT("'"&amp;$B9&amp;"'!$F$29:$F$45"))-ROW(INDIRECT("'"&amp;$B9&amp;"'!$F$29"))+1)/--(FIND("VERIFICACIÓN: ", INDIRECT("'"&amp;$B9&amp;"'!$F$29:$F$45"))),0))),1),0),IF(MAX(IFERROR((_xlfn._xlws.FILTER((ROW(INDIRECT("'"&amp;$B9&amp;"'!$E$29:$E$45"))-ROW(INDIRECT("'"&amp;$B9&amp;"'!$E$29"))+1)/--(IF(INDIRECT("'"&amp;$B9&amp;"'!$E$29:$E$45")&lt;&gt;"",1,0)), NOT(ISNUMBER(MATCH((ROW(INDIRECT("'"&amp;$B9&amp;"'!$E$29:$E$45"))-ROW(INDIRECT("'"&amp;$B9&amp;"'!$E$29"))+1)/--(IF(INDIRECT("'"&amp;$B9&amp;"'!$E$29:$E$45")&lt;&gt;"",1,0)), (ROW(INDIRECT("'"&amp;$B9&amp;"'!$E$29:$E$45"))-ROW(INDIRECT("'"&amp;$B9&amp;"'!$E$29"))+1)/--(FIND("VERIFICACIÓN: ", INDIRECT("'"&amp;$B9&amp;"'!$E$29:$E$45"))), 0))))),0))&lt;&gt;0,INDEX(INDIRECT("'"&amp;$B9&amp;"'!$A$29:$G$45"),MAX((IFERROR((ROW(INDIRECT("'"&amp;$B9&amp;"'!$E$29:$E$45"))-ROW(INDIRECT("'"&amp;$B9&amp;"'!$E$29"))+1)/--(IF(INDIRECT("'"&amp;$B9&amp;"'!$E$29:$E$45")&lt;&gt;"",1,0)),0))-(IFERROR((ROW(INDIRECT("'"&amp;$B9&amp;"'!$E$29:$E$45"))-ROW(INDIRECT("'"&amp;$B9&amp;"'!$E$29"))+1)/--(FIND("VERIFICACIÓN: ", INDIRECT("'"&amp;$B9&amp;"'!$E$29:$E$45"))),0))),1),0))</f>
        <v>45636</v>
      </c>
      <c r="S9" s="6" t="s">
        <v>68</v>
      </c>
      <c r="T9" s="7" t="str" cm="1">
        <f t="array" aca="1" ref="T9" ca="1">IF(IF(MAX((IFERROR((ROW(INDIRECT("'"&amp;$B9&amp;"'!$F$29:$F$45"))-ROW(INDIRECT("'"&amp;$B9&amp;"'!$F$29"))+1)/--(IF(INDIRECT("'"&amp;$B9&amp;"'!$F$29:$F$45")&lt;&gt;"",1,0)),0))-(IFERROR((ROW(INDIRECT("'"&amp;$B9&amp;"'!$F$29:$F$45"))-ROW(INDIRECT("'"&amp;$B9&amp;"'!$F$29"))+1)/--(FIND("VERIFICACIÓN: ", INDIRECT("'"&amp;$B9&amp;"'!$F$29:$F$45"))),0)))&lt;&gt;0,INDEX(INDIRECT("'"&amp;$B9&amp;"'!$A$29:$G$45"),MAX((IFERROR((ROW(INDIRECT("'"&amp;$B9&amp;"'!$F$29:$F$45"))-ROW(INDIRECT("'"&amp;$B9&amp;"'!$F$29"))+1)/--(IF(INDIRECT("'"&amp;$B9&amp;"'!$F$29:$F$45")&lt;&gt;"",1,0)),0))-(IFERROR((ROW(INDIRECT("'"&amp;$B9&amp;"'!$F$29:$F$45"))-ROW(INDIRECT("'"&amp;$B9&amp;"'!$F$29"))+1)/--(FIND("VERIFICACIÓN: ", INDIRECT("'"&amp;$B9&amp;"'!$F$29:$F$45"))),0))),1),0)&gt;IF(MAX(IFERROR((_xlfn._xlws.FILTER((ROW(INDIRECT("'"&amp;$B9&amp;"'!$E$29:$E$45"))-ROW(INDIRECT("'"&amp;$B9&amp;"'!$E$29"))+1)/--(IF(INDIRECT("'"&amp;$B9&amp;"'!$E$29:$E$45")&lt;&gt;"",1,0)), NOT(ISNUMBER(MATCH((ROW(INDIRECT("'"&amp;$B9&amp;"'!$E$29:$E$45"))-ROW(INDIRECT("'"&amp;$B9&amp;"'!$E$29"))+1)/--(IF(INDIRECT("'"&amp;$B9&amp;"'!$E$29:$E$45")&lt;&gt;"",1,0)), (ROW(INDIRECT("'"&amp;$B9&amp;"'!$E$29:$E$45"))-ROW(INDIRECT("'"&amp;$B9&amp;"'!$E$29"))+1)/--(FIND("VERIFICACIÓN: ", INDIRECT("'"&amp;$B9&amp;"'!$E$29:$E$45"))), 0))))),0))&lt;&gt;0,INDEX(INDIRECT("'"&amp;$B9&amp;"'!$A$29:$G$45"),MAX((IFERROR((ROW(INDIRECT("'"&amp;$B9&amp;"'!$E$29:$E$45"))-ROW(INDIRECT("'"&amp;$B9&amp;"'!$E$29"))+1)/--(IF(INDIRECT("'"&amp;$B9&amp;"'!$E$29:$E$45")&lt;&gt;"",1,0)),0))-(IFERROR((ROW(INDIRECT("'"&amp;$B9&amp;"'!$E$29:$E$45"))-ROW(INDIRECT("'"&amp;$B9&amp;"'!$E$29"))+1)/--(FIND("VERIFICACIÓN: ", INDIRECT("'"&amp;$B9&amp;"'!$E$29:$E$45"))),0))),1),0),IF(MAX((IFERROR((ROW(INDIRECT("'"&amp;$B9&amp;"'!$F$29:$F$45"))-ROW(INDIRECT("'"&amp;$B9&amp;"'!$F$29"))+1)/--(IF(INDIRECT("'"&amp;$B9&amp;"'!$F$29:$F$45")&lt;&gt;"",1,0)),0))-(IFERROR((ROW(INDIRECT("'"&amp;$B9&amp;"'!$F$29:$F$45"))-ROW(INDIRECT("'"&amp;$B9&amp;"'!$F$29"))+1)/--(FIND("VERIFICACIÓN: ", INDIRECT("'"&amp;$B9&amp;"'!$F$29:$F$45"))),0)))&lt;&gt;0,INDEX(INDIRECT("'"&amp;$B9&amp;"'!$A$29:$G$45"),MAX((IFERROR((ROW(INDIRECT("'"&amp;$B9&amp;"'!$F$29:$F$45"))-ROW(INDIRECT("'"&amp;$B9&amp;"'!$F$29"))+1)/--(IF(INDIRECT("'"&amp;$B9&amp;"'!$F$29:$F$45")&lt;&gt;"",1,0)),0))-(IFERROR((ROW(INDIRECT("'"&amp;$B9&amp;"'!$F$29:$F$45"))-ROW(INDIRECT("'"&amp;$B9&amp;"'!$F$29"))+1)/--(FIND("VERIFICACIÓN: ", INDIRECT("'"&amp;$B9&amp;"'!$F$29:$F$45"))),0))),6),"NO DISPONIBLE"),IF(MAX(IFERROR((_xlfn._xlws.FILTER((ROW(INDIRECT("'"&amp;$B9&amp;"'!$E$29:$E$45"))-ROW(INDIRECT("'"&amp;$B9&amp;"'!$E$29"))+1)/--(IF(INDIRECT("'"&amp;$B9&amp;"'!$E$29:$E$45")&lt;&gt;"",1,0)), NOT(ISNUMBER(MATCH((ROW(INDIRECT("'"&amp;$B9&amp;"'!$E$29:$E$45"))-ROW(INDIRECT("'"&amp;$B9&amp;"'!$E$29"))+1)/--(IF(INDIRECT("'"&amp;$B9&amp;"'!$E$29:$E$45")&lt;&gt;"",1,0)), (ROW(INDIRECT("'"&amp;$B9&amp;"'!$E$29:$E$45"))-ROW(INDIRECT("'"&amp;$B9&amp;"'!$E$29"))+1)/--(FIND("VERIFICACIÓN: ", INDIRECT("'"&amp;$B9&amp;"'!$E$29:$E$45"))), 0))))),0))&lt;&gt;0,INDEX(INDIRECT("'"&amp;$B9&amp;"'!$A$29:$G$45"),MAX((IFERROR((ROW(INDIRECT("'"&amp;$B9&amp;"'!$E$29:$E$45"))-ROW(INDIRECT("'"&amp;$B9&amp;"'!$E$29"))+1)/--(IF(INDIRECT("'"&amp;$B9&amp;"'!$E$29:$E$45")&lt;&gt;"",1,0)),0))-(IFERROR((ROW(INDIRECT("'"&amp;$B9&amp;"'!$E$29:$E$45"))-ROW(INDIRECT("'"&amp;$B9&amp;"'!$E$29"))+1)/--(FIND("VERIFICACIÓN: ", INDIRECT("'"&amp;$B9&amp;"'!$E$29:$E$45"))),0))),5),"NO DISPONIBLE"))</f>
        <v>MJM</v>
      </c>
      <c r="U9" s="3">
        <v>12</v>
      </c>
      <c r="V9" s="5" cm="1">
        <f t="array" aca="1" ref="V9" ca="1">IF((IFERROR(VLOOKUP(IFERROR(LOOKUP(2,1/((INDIRECT("'"&amp;$B9&amp;"'!$F$29:$F$45"))&lt;&gt;""),(INDIRECT("'"&amp;$B9&amp;"'!$F$29:$F$45"))),"NO DISPONIBLE"),CHOOSE({1,2},(INDIRECT("'"&amp;$B9&amp;"'!$F$29:$F$45")),(INDIRECT("'"&amp;$B9&amp;"'!$A$29:$A$45"))),2,0),0))&gt;(IFERROR(VLOOKUP(IFERROR(LOOKUP(2,1/((INDIRECT("'"&amp;$B9&amp;"'!$E$29:$E$45"))&lt;&gt;""),(INDIRECT("'"&amp;$B9&amp;"'!$E$29:$E$45"))),"NO DISPONIBLE"),CHOOSE({1,2},(INDIRECT("'"&amp;$B9&amp;"'!$E$29:$E$45")),(INDIRECT("'"&amp;$B9&amp;"'!$A$29:$A$45"))),2,0),0)),(IFERROR(VLOOKUP(IFERROR(LOOKUP(2,1/((INDIRECT("'"&amp;$B9&amp;"'!$F$29:$F$45"))&lt;&gt;""),(INDIRECT("'"&amp;$B9&amp;"'!$F$29:$F$45"))),"NO DISPONIBLE"),CHOOSE({1,2},(INDIRECT("'"&amp;$B9&amp;"'!$F$29:$F$45")),(INDIRECT("'"&amp;$B9&amp;"'!$A$29:$A$45"))),2,0),0)),(IFERROR(VLOOKUP(IFERROR(LOOKUP(2,1/((INDIRECT("'"&amp;$B9&amp;"'!$E$29:$E$45"))&lt;&gt;""),(INDIRECT("'"&amp;$B9&amp;"'!$E$29:$E$45"))),"NO DISPONIBLE"),CHOOSE({1,2},(INDIRECT("'"&amp;$B9&amp;"'!$E$29:$E$45")),(INDIRECT("'"&amp;$B9&amp;"'!$A$29:$A$45"))),2,0),0)))</f>
        <v>45636</v>
      </c>
      <c r="W9" s="6" t="s">
        <v>71</v>
      </c>
      <c r="X9" s="7" t="str" cm="1">
        <f t="array" aca="1" ref="X9" ca="1">IF((IFERROR(VLOOKUP(IFERROR(LOOKUP(2,1/((INDIRECT("'"&amp;$B9&amp;"'!$E$29:$E$45"))&lt;&gt;""),(INDIRECT("'"&amp;$B9&amp;"'!$E$29:$E$45"))),"NO DISPONIBLE"),CHOOSE({1,2},(INDIRECT("'"&amp;$B9&amp;"'!$E$29:$E$45")),(INDIRECT("'"&amp;$B9&amp;"'!$A$29:$A$45"))),2,0),0))&gt;(IFERROR(VLOOKUP(IFERROR(LOOKUP(2,1/((INDIRECT("'"&amp;$B9&amp;"'!$F$29:$F$45"))&lt;&gt;""),(INDIRECT("'"&amp;$B9&amp;"'!$F$29:$F$45"))),"NO DISPONIBLE"),CHOOSE({1,2},(INDIRECT("'"&amp;$B9&amp;"'!$F$29:$F$45")),(INDIRECT("'"&amp;$B9&amp;"'!$A$29:$A$45"))),2,0),0)),IFERROR(LOOKUP(2,1/((INDIRECT("'"&amp;$B9&amp;"'!$E$29:$E$45"))&lt;&gt;""),(INDIRECT("'"&amp;$B9&amp;"'!$E$29:$E$45"))),"NO DISPONIBLE"),IFERROR(LOOKUP(2,1/((INDIRECT("'"&amp;$B9&amp;"'!$F$29:$F$45"))&lt;&gt;""),(INDIRECT("'"&amp;$B9&amp;"'!$F$29:$F$45"))),"NO DISPONIBLE"))</f>
        <v>MJM</v>
      </c>
      <c r="Y9" s="3">
        <v>36</v>
      </c>
      <c r="Z9" s="5" cm="1">
        <f t="array" aca="1" ref="Z9" ca="1">IF((IFERROR(VLOOKUP(IFERROR(LOOKUP(2,1/((INDIRECT("'"&amp;$B9&amp;"'!$D$29:$D$45"))&lt;&gt;""),(INDIRECT("'"&amp;$B9&amp;"'!$D$29:$D$45"))),"NO DISPONIBLE"),CHOOSE({1,2},(INDIRECT("'"&amp;$B9&amp;"'!$D$29:$D$45")),(INDIRECT("'"&amp;$B9&amp;"'!$A$29:$A$45"))),2,0),0))&gt;(IFERROR(VLOOKUP(IFERROR(LOOKUP(2,1/((INDIRECT("'"&amp;$B9&amp;"'!$C$29:$C$45"))&lt;&gt;""),(INDIRECT("'"&amp;$B9&amp;"'!$C$29:$C$45"))),"NO DISPONIBLE"),CHOOSE({1,2},(INDIRECT("'"&amp;$B9&amp;"'!$C$29:$C$45")),(INDIRECT("'"&amp;$B9&amp;"'!$A$29:$A$45"))),2,0),0)),(IFERROR(VLOOKUP(IFERROR(LOOKUP(2,1/((INDIRECT("'"&amp;$B9&amp;"'!$D$29:$D$45"))&lt;&gt;""),(INDIRECT("'"&amp;$B9&amp;"'!$D$29:$D$45"))),"NO DISPONIBLE"),CHOOSE({1,2},(INDIRECT("'"&amp;$B9&amp;"'!$D$29:$D$45")),(INDIRECT("'"&amp;$B9&amp;"'!$A$29:$A$45"))),2,0),0)),(IFERROR(VLOOKUP(IFERROR(LOOKUP(2,1/((INDIRECT("'"&amp;$B9&amp;"'!$C$29:$C$45"))&lt;&gt;""),(INDIRECT("'"&amp;$B9&amp;"'!$C$29:$C$45"))),"NO DISPONIBLE"),CHOOSE({1,2},(INDIRECT("'"&amp;$B9&amp;"'!$C$29:$C$45")),(INDIRECT("'"&amp;$B9&amp;"'!$A$29:$A$45"))),2,0),0)))</f>
        <v>45636</v>
      </c>
      <c r="AA9" s="6" t="s">
        <v>73</v>
      </c>
      <c r="AB9" s="7" t="str" cm="1">
        <f t="array" aca="1" ref="AB9" ca="1">IF((IFERROR(VLOOKUP(IFERROR(LOOKUP(2,1/((INDIRECT("'"&amp;$B9&amp;"'!$C$29:$C$45"))&lt;&gt;""),(INDIRECT("'"&amp;$B9&amp;"'!$C$29:$C$45"))),"NO DISPONIBLE"),CHOOSE({1,2},(INDIRECT("'"&amp;$B9&amp;"'!$C$29:$C$45")),(INDIRECT("'"&amp;$B9&amp;"'!$A$29:$A$45"))),2,0),0))&gt;(IFERROR(VLOOKUP(IFERROR(LOOKUP(2,1/((INDIRECT("'"&amp;$B9&amp;"'!$D$29:$D$45"))&lt;&gt;""),(INDIRECT("'"&amp;$B9&amp;"'!$D$29:$D$45"))),"NO DISPONIBLE"),CHOOSE({1,2},(INDIRECT("'"&amp;$B9&amp;"'!$D$29:$D$45")),(INDIRECT("'"&amp;$B9&amp;"'!$A$29:$A$45"))),2,0),0)),IFERROR(LOOKUP(2,1/((INDIRECT("'"&amp;$B9&amp;"'!$C$29:$C$45"))&lt;&gt;""),(INDIRECT("'"&amp;$B9&amp;"'!$C$29:$C$45"))),"NO DISPONIBLE"),IFERROR(LOOKUP(2,1/((INDIRECT("'"&amp;$B9&amp;"'!$D$29:$D$45"))&lt;&gt;""),(INDIRECT("'"&amp;$B9&amp;"'!$D$29:$D$45"))),"NO DISPONIBLE"))</f>
        <v>MJM</v>
      </c>
      <c r="AC9" s="6" t="s">
        <v>82</v>
      </c>
      <c r="AD9" s="8"/>
    </row>
    <row r="10" spans="1:32" x14ac:dyDescent="0.3">
      <c r="A10" s="2" t="s">
        <v>25</v>
      </c>
      <c r="B10" s="2" t="str" cm="1">
        <f t="array" aca="1" ref="B10" ca="1">INDIRECT("'"&amp;$B10&amp;"'!$A$6")</f>
        <v xml:space="preserve">MULTÍMETRO DIGITAL </v>
      </c>
      <c r="C10" s="3" t="str" cm="1">
        <f t="array" aca="1" ref="C10" ca="1">INDIRECT("'"&amp;$B10&amp;"'!$G$14")</f>
        <v>WURTH</v>
      </c>
      <c r="D10" s="3" t="str" cm="1">
        <f t="array" aca="1" ref="D10" ca="1">INDIRECT("'"&amp;$B10&amp;"'!$G$15")</f>
        <v>ART.0715 53 371</v>
      </c>
      <c r="E10" s="24" cm="1">
        <f t="array" aca="1" ref="E10" ca="1">INDIRECT("'"&amp;$B10&amp;"'!$G$16")</f>
        <v>20121668</v>
      </c>
      <c r="F10" s="3" t="s">
        <v>65</v>
      </c>
      <c r="G10" s="3" t="s">
        <v>67</v>
      </c>
      <c r="H10" s="3" t="str" cm="1">
        <f t="array" aca="1" ref="H10" ca="1">INDIRECT("'"&amp;$B10&amp;"'!$G$11")</f>
        <v xml:space="preserve">ELÉCTRICAS </v>
      </c>
      <c r="I10" s="3" t="str" cm="1">
        <f t="array" aca="1" ref="I10" ca="1">INDIRECT("'"&amp;$B10&amp;"'!$C$11")</f>
        <v>ALTA</v>
      </c>
      <c r="J10" s="3" t="str" cm="1">
        <f t="array" aca="1" ref="J10" ca="1">INDIRECT("'"&amp;$B10&amp;"'!$G$21")</f>
        <v>1000 V</v>
      </c>
      <c r="K10" s="3" t="str" cm="1">
        <f t="array" aca="1" ref="K10" ca="1">INDIRECT("'"&amp;$B10&amp;"'!$G$22")</f>
        <v>1 mV</v>
      </c>
      <c r="L10" s="3" t="str" cm="1">
        <f t="array" aca="1" ref="L10" ca="1">INDIRECT("'"&amp;$B10&amp;"'!$G$23")</f>
        <v>1 mV</v>
      </c>
      <c r="M10" s="4"/>
      <c r="N10" s="3" t="str" cm="1">
        <f t="array" aca="1" ref="N10" ca="1">INDIRECT("'"&amp;$B10&amp;"'!$G$22")</f>
        <v>1 mV</v>
      </c>
      <c r="O10" s="3"/>
      <c r="P10" s="7" t="str" cm="1">
        <f t="array" aca="1" ref="P10" ca="1">IFERROR(LOOKUP(2,1/((INDIRECT("'"&amp;$B10&amp;"'!$G$29:$G$45"))&lt;&gt;""),(INDIRECT("'"&amp;$B10&amp;"'!$G$29:$G$45"))),"NO DISPONIBLE")</f>
        <v>FUNCIONAL</v>
      </c>
      <c r="Q10" s="3">
        <v>36</v>
      </c>
      <c r="R10" s="5" cm="1">
        <f t="array" aca="1" ref="R10" ca="1">IF(IF(MAX((IFERROR((ROW(INDIRECT("'"&amp;$B10&amp;"'!$F$29:$F$45"))-ROW(INDIRECT("'"&amp;$B10&amp;"'!$F$29"))+1)/--(IF(INDIRECT("'"&amp;$B10&amp;"'!$F$29:$F$45")&lt;&gt;"",1,0)),0))-(IFERROR((ROW(INDIRECT("'"&amp;$B10&amp;"'!$F$29:$F$45"))-ROW(INDIRECT("'"&amp;$B10&amp;"'!$F$29"))+1)/--(FIND("VERIFICACIÓN: ", INDIRECT("'"&amp;$B10&amp;"'!$F$29:$F$45"))),0)))&lt;&gt;0,INDEX(INDIRECT("'"&amp;$B10&amp;"'!$A$29:$G$45"),MAX((IFERROR((ROW(INDIRECT("'"&amp;$B10&amp;"'!$F$29:$F$45"))-ROW(INDIRECT("'"&amp;$B10&amp;"'!$F$29"))+1)/--(IF(INDIRECT("'"&amp;$B10&amp;"'!$F$29:$F$45")&lt;&gt;"",1,0)),0))-(IFERROR((ROW(INDIRECT("'"&amp;$B10&amp;"'!$F$29:$F$45"))-ROW(INDIRECT("'"&amp;$B10&amp;"'!$F$29"))+1)/--(FIND("VERIFICACIÓN: ", INDIRECT("'"&amp;$B10&amp;"'!$F$29:$F$45"))),0))),1),0)&gt;IF(MAX(IFERROR((_xlfn._xlws.FILTER((ROW(INDIRECT("'"&amp;$B10&amp;"'!$E$29:$E$45"))-ROW(INDIRECT("'"&amp;$B10&amp;"'!$E$29"))+1)/--(IF(INDIRECT("'"&amp;$B10&amp;"'!$E$29:$E$45")&lt;&gt;"",1,0)), NOT(ISNUMBER(MATCH((ROW(INDIRECT("'"&amp;$B10&amp;"'!$E$29:$E$45"))-ROW(INDIRECT("'"&amp;$B10&amp;"'!$E$29"))+1)/--(IF(INDIRECT("'"&amp;$B10&amp;"'!$E$29:$E$45")&lt;&gt;"",1,0)), (ROW(INDIRECT("'"&amp;$B10&amp;"'!$E$29:$E$45"))-ROW(INDIRECT("'"&amp;$B10&amp;"'!$E$29"))+1)/--(FIND("VERIFICACIÓN: ", INDIRECT("'"&amp;$B10&amp;"'!$E$29:$E$45"))), 0))))),0))&lt;&gt;0,INDEX(INDIRECT("'"&amp;$B10&amp;"'!$A$29:$G$45"),MAX((IFERROR((ROW(INDIRECT("'"&amp;$B10&amp;"'!$E$29:$E$45"))-ROW(INDIRECT("'"&amp;$B10&amp;"'!$E$29"))+1)/--(IF(INDIRECT("'"&amp;$B10&amp;"'!$E$29:$E$45")&lt;&gt;"",1,0)),0))-(IFERROR((ROW(INDIRECT("'"&amp;$B10&amp;"'!$E$29:$E$45"))-ROW(INDIRECT("'"&amp;$B10&amp;"'!$E$29"))+1)/--(FIND("VERIFICACIÓN: ", INDIRECT("'"&amp;$B10&amp;"'!$E$29:$E$45"))),0))),1),0),IF(MAX((IFERROR((ROW(INDIRECT("'"&amp;$B10&amp;"'!$F$29:$F$45"))-ROW(INDIRECT("'"&amp;$B10&amp;"'!$F$29"))+1)/--(IF(INDIRECT("'"&amp;$B10&amp;"'!$F$29:$F$45")&lt;&gt;"",1,0)),0))-(IFERROR((ROW(INDIRECT("'"&amp;$B10&amp;"'!$F$29:$F$45"))-ROW(INDIRECT("'"&amp;$B10&amp;"'!$F$29"))+1)/--(FIND("VERIFICACIÓN: ", INDIRECT("'"&amp;$B10&amp;"'!$F$29:$F$45"))),0)))&lt;&gt;0,INDEX(INDIRECT("'"&amp;$B10&amp;"'!$A$29:$G$45"),MAX((IFERROR((ROW(INDIRECT("'"&amp;$B10&amp;"'!$F$29:$F$45"))-ROW(INDIRECT("'"&amp;$B10&amp;"'!$F$29"))+1)/--(IF(INDIRECT("'"&amp;$B10&amp;"'!$F$29:$F$45")&lt;&gt;"",1,0)),0))-(IFERROR((ROW(INDIRECT("'"&amp;$B10&amp;"'!$F$29:$F$45"))-ROW(INDIRECT("'"&amp;$B10&amp;"'!$F$29"))+1)/--(FIND("VERIFICACIÓN: ", INDIRECT("'"&amp;$B10&amp;"'!$F$29:$F$45"))),0))),1),0),IF(MAX(IFERROR((_xlfn._xlws.FILTER((ROW(INDIRECT("'"&amp;$B10&amp;"'!$E$29:$E$45"))-ROW(INDIRECT("'"&amp;$B10&amp;"'!$E$29"))+1)/--(IF(INDIRECT("'"&amp;$B10&amp;"'!$E$29:$E$45")&lt;&gt;"",1,0)), NOT(ISNUMBER(MATCH((ROW(INDIRECT("'"&amp;$B10&amp;"'!$E$29:$E$45"))-ROW(INDIRECT("'"&amp;$B10&amp;"'!$E$29"))+1)/--(IF(INDIRECT("'"&amp;$B10&amp;"'!$E$29:$E$45")&lt;&gt;"",1,0)), (ROW(INDIRECT("'"&amp;$B10&amp;"'!$E$29:$E$45"))-ROW(INDIRECT("'"&amp;$B10&amp;"'!$E$29"))+1)/--(FIND("VERIFICACIÓN: ", INDIRECT("'"&amp;$B10&amp;"'!$E$29:$E$45"))), 0))))),0))&lt;&gt;0,INDEX(INDIRECT("'"&amp;$B10&amp;"'!$A$29:$G$45"),MAX((IFERROR((ROW(INDIRECT("'"&amp;$B10&amp;"'!$E$29:$E$45"))-ROW(INDIRECT("'"&amp;$B10&amp;"'!$E$29"))+1)/--(IF(INDIRECT("'"&amp;$B10&amp;"'!$E$29:$E$45")&lt;&gt;"",1,0)),0))-(IFERROR((ROW(INDIRECT("'"&amp;$B10&amp;"'!$E$29:$E$45"))-ROW(INDIRECT("'"&amp;$B10&amp;"'!$E$29"))+1)/--(FIND("VERIFICACIÓN: ", INDIRECT("'"&amp;$B10&amp;"'!$E$29:$E$45"))),0))),1),0))</f>
        <v>45636</v>
      </c>
      <c r="S10" s="6" t="s">
        <v>68</v>
      </c>
      <c r="T10" s="7" t="str" cm="1">
        <f t="array" aca="1" ref="T10" ca="1">IF(IF(MAX((IFERROR((ROW(INDIRECT("'"&amp;$B10&amp;"'!$F$29:$F$45"))-ROW(INDIRECT("'"&amp;$B10&amp;"'!$F$29"))+1)/--(IF(INDIRECT("'"&amp;$B10&amp;"'!$F$29:$F$45")&lt;&gt;"",1,0)),0))-(IFERROR((ROW(INDIRECT("'"&amp;$B10&amp;"'!$F$29:$F$45"))-ROW(INDIRECT("'"&amp;$B10&amp;"'!$F$29"))+1)/--(FIND("VERIFICACIÓN: ", INDIRECT("'"&amp;$B10&amp;"'!$F$29:$F$45"))),0)))&lt;&gt;0,INDEX(INDIRECT("'"&amp;$B10&amp;"'!$A$29:$G$45"),MAX((IFERROR((ROW(INDIRECT("'"&amp;$B10&amp;"'!$F$29:$F$45"))-ROW(INDIRECT("'"&amp;$B10&amp;"'!$F$29"))+1)/--(IF(INDIRECT("'"&amp;$B10&amp;"'!$F$29:$F$45")&lt;&gt;"",1,0)),0))-(IFERROR((ROW(INDIRECT("'"&amp;$B10&amp;"'!$F$29:$F$45"))-ROW(INDIRECT("'"&amp;$B10&amp;"'!$F$29"))+1)/--(FIND("VERIFICACIÓN: ", INDIRECT("'"&amp;$B10&amp;"'!$F$29:$F$45"))),0))),1),0)&gt;IF(MAX(IFERROR((_xlfn._xlws.FILTER((ROW(INDIRECT("'"&amp;$B10&amp;"'!$E$29:$E$45"))-ROW(INDIRECT("'"&amp;$B10&amp;"'!$E$29"))+1)/--(IF(INDIRECT("'"&amp;$B10&amp;"'!$E$29:$E$45")&lt;&gt;"",1,0)), NOT(ISNUMBER(MATCH((ROW(INDIRECT("'"&amp;$B10&amp;"'!$E$29:$E$45"))-ROW(INDIRECT("'"&amp;$B10&amp;"'!$E$29"))+1)/--(IF(INDIRECT("'"&amp;$B10&amp;"'!$E$29:$E$45")&lt;&gt;"",1,0)), (ROW(INDIRECT("'"&amp;$B10&amp;"'!$E$29:$E$45"))-ROW(INDIRECT("'"&amp;$B10&amp;"'!$E$29"))+1)/--(FIND("VERIFICACIÓN: ", INDIRECT("'"&amp;$B10&amp;"'!$E$29:$E$45"))), 0))))),0))&lt;&gt;0,INDEX(INDIRECT("'"&amp;$B10&amp;"'!$A$29:$G$45"),MAX((IFERROR((ROW(INDIRECT("'"&amp;$B10&amp;"'!$E$29:$E$45"))-ROW(INDIRECT("'"&amp;$B10&amp;"'!$E$29"))+1)/--(IF(INDIRECT("'"&amp;$B10&amp;"'!$E$29:$E$45")&lt;&gt;"",1,0)),0))-(IFERROR((ROW(INDIRECT("'"&amp;$B10&amp;"'!$E$29:$E$45"))-ROW(INDIRECT("'"&amp;$B10&amp;"'!$E$29"))+1)/--(FIND("VERIFICACIÓN: ", INDIRECT("'"&amp;$B10&amp;"'!$E$29:$E$45"))),0))),1),0),IF(MAX((IFERROR((ROW(INDIRECT("'"&amp;$B10&amp;"'!$F$29:$F$45"))-ROW(INDIRECT("'"&amp;$B10&amp;"'!$F$29"))+1)/--(IF(INDIRECT("'"&amp;$B10&amp;"'!$F$29:$F$45")&lt;&gt;"",1,0)),0))-(IFERROR((ROW(INDIRECT("'"&amp;$B10&amp;"'!$F$29:$F$45"))-ROW(INDIRECT("'"&amp;$B10&amp;"'!$F$29"))+1)/--(FIND("VERIFICACIÓN: ", INDIRECT("'"&amp;$B10&amp;"'!$F$29:$F$45"))),0)))&lt;&gt;0,INDEX(INDIRECT("'"&amp;$B10&amp;"'!$A$29:$G$45"),MAX((IFERROR((ROW(INDIRECT("'"&amp;$B10&amp;"'!$F$29:$F$45"))-ROW(INDIRECT("'"&amp;$B10&amp;"'!$F$29"))+1)/--(IF(INDIRECT("'"&amp;$B10&amp;"'!$F$29:$F$45")&lt;&gt;"",1,0)),0))-(IFERROR((ROW(INDIRECT("'"&amp;$B10&amp;"'!$F$29:$F$45"))-ROW(INDIRECT("'"&amp;$B10&amp;"'!$F$29"))+1)/--(FIND("VERIFICACIÓN: ", INDIRECT("'"&amp;$B10&amp;"'!$F$29:$F$45"))),0))),6),"NO DISPONIBLE"),IF(MAX(IFERROR((_xlfn._xlws.FILTER((ROW(INDIRECT("'"&amp;$B10&amp;"'!$E$29:$E$45"))-ROW(INDIRECT("'"&amp;$B10&amp;"'!$E$29"))+1)/--(IF(INDIRECT("'"&amp;$B10&amp;"'!$E$29:$E$45")&lt;&gt;"",1,0)), NOT(ISNUMBER(MATCH((ROW(INDIRECT("'"&amp;$B10&amp;"'!$E$29:$E$45"))-ROW(INDIRECT("'"&amp;$B10&amp;"'!$E$29"))+1)/--(IF(INDIRECT("'"&amp;$B10&amp;"'!$E$29:$E$45")&lt;&gt;"",1,0)), (ROW(INDIRECT("'"&amp;$B10&amp;"'!$E$29:$E$45"))-ROW(INDIRECT("'"&amp;$B10&amp;"'!$E$29"))+1)/--(FIND("VERIFICACIÓN: ", INDIRECT("'"&amp;$B10&amp;"'!$E$29:$E$45"))), 0))))),0))&lt;&gt;0,INDEX(INDIRECT("'"&amp;$B10&amp;"'!$A$29:$G$45"),MAX((IFERROR((ROW(INDIRECT("'"&amp;$B10&amp;"'!$E$29:$E$45"))-ROW(INDIRECT("'"&amp;$B10&amp;"'!$E$29"))+1)/--(IF(INDIRECT("'"&amp;$B10&amp;"'!$E$29:$E$45")&lt;&gt;"",1,0)),0))-(IFERROR((ROW(INDIRECT("'"&amp;$B10&amp;"'!$E$29:$E$45"))-ROW(INDIRECT("'"&amp;$B10&amp;"'!$E$29"))+1)/--(FIND("VERIFICACIÓN: ", INDIRECT("'"&amp;$B10&amp;"'!$E$29:$E$45"))),0))),5),"NO DISPONIBLE"))</f>
        <v>MJM</v>
      </c>
      <c r="U10" s="3">
        <v>12</v>
      </c>
      <c r="V10" s="5" cm="1">
        <f t="array" aca="1" ref="V10" ca="1">IF((IFERROR(VLOOKUP(IFERROR(LOOKUP(2,1/((INDIRECT("'"&amp;$B10&amp;"'!$F$29:$F$45"))&lt;&gt;""),(INDIRECT("'"&amp;$B10&amp;"'!$F$29:$F$45"))),"NO DISPONIBLE"),CHOOSE({1,2},(INDIRECT("'"&amp;$B10&amp;"'!$F$29:$F$45")),(INDIRECT("'"&amp;$B10&amp;"'!$A$29:$A$45"))),2,0),0))&gt;(IFERROR(VLOOKUP(IFERROR(LOOKUP(2,1/((INDIRECT("'"&amp;$B10&amp;"'!$E$29:$E$45"))&lt;&gt;""),(INDIRECT("'"&amp;$B10&amp;"'!$E$29:$E$45"))),"NO DISPONIBLE"),CHOOSE({1,2},(INDIRECT("'"&amp;$B10&amp;"'!$E$29:$E$45")),(INDIRECT("'"&amp;$B10&amp;"'!$A$29:$A$45"))),2,0),0)),(IFERROR(VLOOKUP(IFERROR(LOOKUP(2,1/((INDIRECT("'"&amp;$B10&amp;"'!$F$29:$F$45"))&lt;&gt;""),(INDIRECT("'"&amp;$B10&amp;"'!$F$29:$F$45"))),"NO DISPONIBLE"),CHOOSE({1,2},(INDIRECT("'"&amp;$B10&amp;"'!$F$29:$F$45")),(INDIRECT("'"&amp;$B10&amp;"'!$A$29:$A$45"))),2,0),0)),(IFERROR(VLOOKUP(IFERROR(LOOKUP(2,1/((INDIRECT("'"&amp;$B10&amp;"'!$E$29:$E$45"))&lt;&gt;""),(INDIRECT("'"&amp;$B10&amp;"'!$E$29:$E$45"))),"NO DISPONIBLE"),CHOOSE({1,2},(INDIRECT("'"&amp;$B10&amp;"'!$E$29:$E$45")),(INDIRECT("'"&amp;$B10&amp;"'!$A$29:$A$45"))),2,0),0)))</f>
        <v>45636</v>
      </c>
      <c r="W10" s="6" t="s">
        <v>71</v>
      </c>
      <c r="X10" s="7" t="str" cm="1">
        <f t="array" aca="1" ref="X10" ca="1">IF((IFERROR(VLOOKUP(IFERROR(LOOKUP(2,1/((INDIRECT("'"&amp;$B10&amp;"'!$E$29:$E$45"))&lt;&gt;""),(INDIRECT("'"&amp;$B10&amp;"'!$E$29:$E$45"))),"NO DISPONIBLE"),CHOOSE({1,2},(INDIRECT("'"&amp;$B10&amp;"'!$E$29:$E$45")),(INDIRECT("'"&amp;$B10&amp;"'!$A$29:$A$45"))),2,0),0))&gt;(IFERROR(VLOOKUP(IFERROR(LOOKUP(2,1/((INDIRECT("'"&amp;$B10&amp;"'!$F$29:$F$45"))&lt;&gt;""),(INDIRECT("'"&amp;$B10&amp;"'!$F$29:$F$45"))),"NO DISPONIBLE"),CHOOSE({1,2},(INDIRECT("'"&amp;$B10&amp;"'!$F$29:$F$45")),(INDIRECT("'"&amp;$B10&amp;"'!$A$29:$A$45"))),2,0),0)),IFERROR(LOOKUP(2,1/((INDIRECT("'"&amp;$B10&amp;"'!$E$29:$E$45"))&lt;&gt;""),(INDIRECT("'"&amp;$B10&amp;"'!$E$29:$E$45"))),"NO DISPONIBLE"),IFERROR(LOOKUP(2,1/((INDIRECT("'"&amp;$B10&amp;"'!$F$29:$F$45"))&lt;&gt;""),(INDIRECT("'"&amp;$B10&amp;"'!$F$29:$F$45"))),"NO DISPONIBLE"))</f>
        <v>MJM</v>
      </c>
      <c r="Y10" s="3">
        <v>36</v>
      </c>
      <c r="Z10" s="5" cm="1">
        <f t="array" aca="1" ref="Z10" ca="1">IF((IFERROR(VLOOKUP(IFERROR(LOOKUP(2,1/((INDIRECT("'"&amp;$B10&amp;"'!$D$29:$D$45"))&lt;&gt;""),(INDIRECT("'"&amp;$B10&amp;"'!$D$29:$D$45"))),"NO DISPONIBLE"),CHOOSE({1,2},(INDIRECT("'"&amp;$B10&amp;"'!$D$29:$D$45")),(INDIRECT("'"&amp;$B10&amp;"'!$A$29:$A$45"))),2,0),0))&gt;(IFERROR(VLOOKUP(IFERROR(LOOKUP(2,1/((INDIRECT("'"&amp;$B10&amp;"'!$C$29:$C$45"))&lt;&gt;""),(INDIRECT("'"&amp;$B10&amp;"'!$C$29:$C$45"))),"NO DISPONIBLE"),CHOOSE({1,2},(INDIRECT("'"&amp;$B10&amp;"'!$C$29:$C$45")),(INDIRECT("'"&amp;$B10&amp;"'!$A$29:$A$45"))),2,0),0)),(IFERROR(VLOOKUP(IFERROR(LOOKUP(2,1/((INDIRECT("'"&amp;$B10&amp;"'!$D$29:$D$45"))&lt;&gt;""),(INDIRECT("'"&amp;$B10&amp;"'!$D$29:$D$45"))),"NO DISPONIBLE"),CHOOSE({1,2},(INDIRECT("'"&amp;$B10&amp;"'!$D$29:$D$45")),(INDIRECT("'"&amp;$B10&amp;"'!$A$29:$A$45"))),2,0),0)),(IFERROR(VLOOKUP(IFERROR(LOOKUP(2,1/((INDIRECT("'"&amp;$B10&amp;"'!$C$29:$C$45"))&lt;&gt;""),(INDIRECT("'"&amp;$B10&amp;"'!$C$29:$C$45"))),"NO DISPONIBLE"),CHOOSE({1,2},(INDIRECT("'"&amp;$B10&amp;"'!$C$29:$C$45")),(INDIRECT("'"&amp;$B10&amp;"'!$A$29:$A$45"))),2,0),0)))</f>
        <v>45636</v>
      </c>
      <c r="AA10" s="6" t="s">
        <v>73</v>
      </c>
      <c r="AB10" s="7" t="str" cm="1">
        <f t="array" aca="1" ref="AB10" ca="1">IF((IFERROR(VLOOKUP(IFERROR(LOOKUP(2,1/((INDIRECT("'"&amp;$B10&amp;"'!$C$29:$C$45"))&lt;&gt;""),(INDIRECT("'"&amp;$B10&amp;"'!$C$29:$C$45"))),"NO DISPONIBLE"),CHOOSE({1,2},(INDIRECT("'"&amp;$B10&amp;"'!$C$29:$C$45")),(INDIRECT("'"&amp;$B10&amp;"'!$A$29:$A$45"))),2,0),0))&gt;(IFERROR(VLOOKUP(IFERROR(LOOKUP(2,1/((INDIRECT("'"&amp;$B10&amp;"'!$D$29:$D$45"))&lt;&gt;""),(INDIRECT("'"&amp;$B10&amp;"'!$D$29:$D$45"))),"NO DISPONIBLE"),CHOOSE({1,2},(INDIRECT("'"&amp;$B10&amp;"'!$D$29:$D$45")),(INDIRECT("'"&amp;$B10&amp;"'!$A$29:$A$45"))),2,0),0)),IFERROR(LOOKUP(2,1/((INDIRECT("'"&amp;$B10&amp;"'!$C$29:$C$45"))&lt;&gt;""),(INDIRECT("'"&amp;$B10&amp;"'!$C$29:$C$45"))),"NO DISPONIBLE"),IFERROR(LOOKUP(2,1/((INDIRECT("'"&amp;$B10&amp;"'!$D$29:$D$45"))&lt;&gt;""),(INDIRECT("'"&amp;$B10&amp;"'!$D$29:$D$45"))),"NO DISPONIBLE"))</f>
        <v>MJM</v>
      </c>
      <c r="AC10" s="6" t="s">
        <v>82</v>
      </c>
      <c r="AD10" s="8"/>
    </row>
    <row r="11" spans="1:32" x14ac:dyDescent="0.3">
      <c r="A11" s="2" t="s">
        <v>26</v>
      </c>
      <c r="B11" s="2" t="str" cm="1">
        <f t="array" aca="1" ref="B11" ca="1">INDIRECT("'"&amp;$B11&amp;"'!$A$6")</f>
        <v>BLOQUE SECO</v>
      </c>
      <c r="C11" s="3" t="str" cm="1">
        <f t="array" aca="1" ref="C11" ca="1">INDIRECT("'"&amp;$B11&amp;"'!$G$14")</f>
        <v xml:space="preserve">INDULAB </v>
      </c>
      <c r="D11" s="3" t="str" cm="1">
        <f t="array" aca="1" ref="D11" ca="1">INDIRECT("'"&amp;$B11&amp;"'!$G$15")</f>
        <v>BT-2000</v>
      </c>
      <c r="E11" s="24" cm="1">
        <f t="array" aca="1" ref="E11" ca="1">INDIRECT("'"&amp;$B11&amp;"'!$G$16")</f>
        <v>12288</v>
      </c>
      <c r="F11" s="3" t="s">
        <v>66</v>
      </c>
      <c r="G11" s="3" t="s">
        <v>67</v>
      </c>
      <c r="H11" s="3" t="str" cm="1">
        <f t="array" aca="1" ref="H11" ca="1">INDIRECT("'"&amp;$B11&amp;"'!$G$11")</f>
        <v>TEMPERATURA</v>
      </c>
      <c r="I11" s="3" t="str" cm="1">
        <f t="array" aca="1" ref="I11" ca="1">INDIRECT("'"&amp;$B11&amp;"'!$C$11")</f>
        <v>ALTA</v>
      </c>
      <c r="J11" s="3" t="str" cm="1">
        <f t="array" aca="1" ref="J11" ca="1">INDIRECT("'"&amp;$B11&amp;"'!$G$21")</f>
        <v>99°C</v>
      </c>
      <c r="K11" s="3" t="str" cm="1">
        <f t="array" aca="1" ref="K11" ca="1">INDIRECT("'"&amp;$B11&amp;"'!$G$22")</f>
        <v>0 °C</v>
      </c>
      <c r="L11" s="3" t="str" cm="1">
        <f t="array" aca="1" ref="L11" ca="1">INDIRECT("'"&amp;$B11&amp;"'!$G$23")</f>
        <v>0,1°C</v>
      </c>
      <c r="M11" s="4"/>
      <c r="N11" s="3" t="str" cm="1">
        <f t="array" aca="1" ref="N11" ca="1">INDIRECT("'"&amp;$B11&amp;"'!$G$22")</f>
        <v>0 °C</v>
      </c>
      <c r="O11" s="3"/>
      <c r="P11" s="7" t="str" cm="1">
        <f t="array" aca="1" ref="P11" ca="1">IFERROR(LOOKUP(2,1/((INDIRECT("'"&amp;$B11&amp;"'!$G$29:$G$45"))&lt;&gt;""),(INDIRECT("'"&amp;$B11&amp;"'!$G$29:$G$45"))),"NO DISPONIBLE")</f>
        <v>FUNCIONAL</v>
      </c>
      <c r="Q11" s="3">
        <v>36</v>
      </c>
      <c r="R11" s="5" cm="1">
        <f t="array" aca="1" ref="R11" ca="1">IF(IF(MAX((IFERROR((ROW(INDIRECT("'"&amp;$B11&amp;"'!$F$29:$F$45"))-ROW(INDIRECT("'"&amp;$B11&amp;"'!$F$29"))+1)/--(IF(INDIRECT("'"&amp;$B11&amp;"'!$F$29:$F$45")&lt;&gt;"",1,0)),0))-(IFERROR((ROW(INDIRECT("'"&amp;$B11&amp;"'!$F$29:$F$45"))-ROW(INDIRECT("'"&amp;$B11&amp;"'!$F$29"))+1)/--(FIND("VERIFICACIÓN: ", INDIRECT("'"&amp;$B11&amp;"'!$F$29:$F$45"))),0)))&lt;&gt;0,INDEX(INDIRECT("'"&amp;$B11&amp;"'!$A$29:$G$45"),MAX((IFERROR((ROW(INDIRECT("'"&amp;$B11&amp;"'!$F$29:$F$45"))-ROW(INDIRECT("'"&amp;$B11&amp;"'!$F$29"))+1)/--(IF(INDIRECT("'"&amp;$B11&amp;"'!$F$29:$F$45")&lt;&gt;"",1,0)),0))-(IFERROR((ROW(INDIRECT("'"&amp;$B11&amp;"'!$F$29:$F$45"))-ROW(INDIRECT("'"&amp;$B11&amp;"'!$F$29"))+1)/--(FIND("VERIFICACIÓN: ", INDIRECT("'"&amp;$B11&amp;"'!$F$29:$F$45"))),0))),1),0)&gt;IF(MAX(IFERROR((_xlfn._xlws.FILTER((ROW(INDIRECT("'"&amp;$B11&amp;"'!$E$29:$E$45"))-ROW(INDIRECT("'"&amp;$B11&amp;"'!$E$29"))+1)/--(IF(INDIRECT("'"&amp;$B11&amp;"'!$E$29:$E$45")&lt;&gt;"",1,0)), NOT(ISNUMBER(MATCH((ROW(INDIRECT("'"&amp;$B11&amp;"'!$E$29:$E$45"))-ROW(INDIRECT("'"&amp;$B11&amp;"'!$E$29"))+1)/--(IF(INDIRECT("'"&amp;$B11&amp;"'!$E$29:$E$45")&lt;&gt;"",1,0)), (ROW(INDIRECT("'"&amp;$B11&amp;"'!$E$29:$E$45"))-ROW(INDIRECT("'"&amp;$B11&amp;"'!$E$29"))+1)/--(FIND("VERIFICACIÓN: ", INDIRECT("'"&amp;$B11&amp;"'!$E$29:$E$45"))), 0))))),0))&lt;&gt;0,INDEX(INDIRECT("'"&amp;$B11&amp;"'!$A$29:$G$45"),MAX((IFERROR((ROW(INDIRECT("'"&amp;$B11&amp;"'!$E$29:$E$45"))-ROW(INDIRECT("'"&amp;$B11&amp;"'!$E$29"))+1)/--(IF(INDIRECT("'"&amp;$B11&amp;"'!$E$29:$E$45")&lt;&gt;"",1,0)),0))-(IFERROR((ROW(INDIRECT("'"&amp;$B11&amp;"'!$E$29:$E$45"))-ROW(INDIRECT("'"&amp;$B11&amp;"'!$E$29"))+1)/--(FIND("VERIFICACIÓN: ", INDIRECT("'"&amp;$B11&amp;"'!$E$29:$E$45"))),0))),1),0),IF(MAX((IFERROR((ROW(INDIRECT("'"&amp;$B11&amp;"'!$F$29:$F$45"))-ROW(INDIRECT("'"&amp;$B11&amp;"'!$F$29"))+1)/--(IF(INDIRECT("'"&amp;$B11&amp;"'!$F$29:$F$45")&lt;&gt;"",1,0)),0))-(IFERROR((ROW(INDIRECT("'"&amp;$B11&amp;"'!$F$29:$F$45"))-ROW(INDIRECT("'"&amp;$B11&amp;"'!$F$29"))+1)/--(FIND("VERIFICACIÓN: ", INDIRECT("'"&amp;$B11&amp;"'!$F$29:$F$45"))),0)))&lt;&gt;0,INDEX(INDIRECT("'"&amp;$B11&amp;"'!$A$29:$G$45"),MAX((IFERROR((ROW(INDIRECT("'"&amp;$B11&amp;"'!$F$29:$F$45"))-ROW(INDIRECT("'"&amp;$B11&amp;"'!$F$29"))+1)/--(IF(INDIRECT("'"&amp;$B11&amp;"'!$F$29:$F$45")&lt;&gt;"",1,0)),0))-(IFERROR((ROW(INDIRECT("'"&amp;$B11&amp;"'!$F$29:$F$45"))-ROW(INDIRECT("'"&amp;$B11&amp;"'!$F$29"))+1)/--(FIND("VERIFICACIÓN: ", INDIRECT("'"&amp;$B11&amp;"'!$F$29:$F$45"))),0))),1),0),IF(MAX(IFERROR((_xlfn._xlws.FILTER((ROW(INDIRECT("'"&amp;$B11&amp;"'!$E$29:$E$45"))-ROW(INDIRECT("'"&amp;$B11&amp;"'!$E$29"))+1)/--(IF(INDIRECT("'"&amp;$B11&amp;"'!$E$29:$E$45")&lt;&gt;"",1,0)), NOT(ISNUMBER(MATCH((ROW(INDIRECT("'"&amp;$B11&amp;"'!$E$29:$E$45"))-ROW(INDIRECT("'"&amp;$B11&amp;"'!$E$29"))+1)/--(IF(INDIRECT("'"&amp;$B11&amp;"'!$E$29:$E$45")&lt;&gt;"",1,0)), (ROW(INDIRECT("'"&amp;$B11&amp;"'!$E$29:$E$45"))-ROW(INDIRECT("'"&amp;$B11&amp;"'!$E$29"))+1)/--(FIND("VERIFICACIÓN: ", INDIRECT("'"&amp;$B11&amp;"'!$E$29:$E$45"))), 0))))),0))&lt;&gt;0,INDEX(INDIRECT("'"&amp;$B11&amp;"'!$A$29:$G$45"),MAX((IFERROR((ROW(INDIRECT("'"&amp;$B11&amp;"'!$E$29:$E$45"))-ROW(INDIRECT("'"&amp;$B11&amp;"'!$E$29"))+1)/--(IF(INDIRECT("'"&amp;$B11&amp;"'!$E$29:$E$45")&lt;&gt;"",1,0)),0))-(IFERROR((ROW(INDIRECT("'"&amp;$B11&amp;"'!$E$29:$E$45"))-ROW(INDIRECT("'"&amp;$B11&amp;"'!$E$29"))+1)/--(FIND("VERIFICACIÓN: ", INDIRECT("'"&amp;$B11&amp;"'!$E$29:$E$45"))),0))),1),0))</f>
        <v>45632</v>
      </c>
      <c r="S11" s="6" t="s">
        <v>68</v>
      </c>
      <c r="T11" s="7" t="str" cm="1">
        <f t="array" aca="1" ref="T11" ca="1">IF(IF(MAX((IFERROR((ROW(INDIRECT("'"&amp;$B11&amp;"'!$F$29:$F$45"))-ROW(INDIRECT("'"&amp;$B11&amp;"'!$F$29"))+1)/--(IF(INDIRECT("'"&amp;$B11&amp;"'!$F$29:$F$45")&lt;&gt;"",1,0)),0))-(IFERROR((ROW(INDIRECT("'"&amp;$B11&amp;"'!$F$29:$F$45"))-ROW(INDIRECT("'"&amp;$B11&amp;"'!$F$29"))+1)/--(FIND("VERIFICACIÓN: ", INDIRECT("'"&amp;$B11&amp;"'!$F$29:$F$45"))),0)))&lt;&gt;0,INDEX(INDIRECT("'"&amp;$B11&amp;"'!$A$29:$G$45"),MAX((IFERROR((ROW(INDIRECT("'"&amp;$B11&amp;"'!$F$29:$F$45"))-ROW(INDIRECT("'"&amp;$B11&amp;"'!$F$29"))+1)/--(IF(INDIRECT("'"&amp;$B11&amp;"'!$F$29:$F$45")&lt;&gt;"",1,0)),0))-(IFERROR((ROW(INDIRECT("'"&amp;$B11&amp;"'!$F$29:$F$45"))-ROW(INDIRECT("'"&amp;$B11&amp;"'!$F$29"))+1)/--(FIND("VERIFICACIÓN: ", INDIRECT("'"&amp;$B11&amp;"'!$F$29:$F$45"))),0))),1),0)&gt;IF(MAX(IFERROR((_xlfn._xlws.FILTER((ROW(INDIRECT("'"&amp;$B11&amp;"'!$E$29:$E$45"))-ROW(INDIRECT("'"&amp;$B11&amp;"'!$E$29"))+1)/--(IF(INDIRECT("'"&amp;$B11&amp;"'!$E$29:$E$45")&lt;&gt;"",1,0)), NOT(ISNUMBER(MATCH((ROW(INDIRECT("'"&amp;$B11&amp;"'!$E$29:$E$45"))-ROW(INDIRECT("'"&amp;$B11&amp;"'!$E$29"))+1)/--(IF(INDIRECT("'"&amp;$B11&amp;"'!$E$29:$E$45")&lt;&gt;"",1,0)), (ROW(INDIRECT("'"&amp;$B11&amp;"'!$E$29:$E$45"))-ROW(INDIRECT("'"&amp;$B11&amp;"'!$E$29"))+1)/--(FIND("VERIFICACIÓN: ", INDIRECT("'"&amp;$B11&amp;"'!$E$29:$E$45"))), 0))))),0))&lt;&gt;0,INDEX(INDIRECT("'"&amp;$B11&amp;"'!$A$29:$G$45"),MAX((IFERROR((ROW(INDIRECT("'"&amp;$B11&amp;"'!$E$29:$E$45"))-ROW(INDIRECT("'"&amp;$B11&amp;"'!$E$29"))+1)/--(IF(INDIRECT("'"&amp;$B11&amp;"'!$E$29:$E$45")&lt;&gt;"",1,0)),0))-(IFERROR((ROW(INDIRECT("'"&amp;$B11&amp;"'!$E$29:$E$45"))-ROW(INDIRECT("'"&amp;$B11&amp;"'!$E$29"))+1)/--(FIND("VERIFICACIÓN: ", INDIRECT("'"&amp;$B11&amp;"'!$E$29:$E$45"))),0))),1),0),IF(MAX((IFERROR((ROW(INDIRECT("'"&amp;$B11&amp;"'!$F$29:$F$45"))-ROW(INDIRECT("'"&amp;$B11&amp;"'!$F$29"))+1)/--(IF(INDIRECT("'"&amp;$B11&amp;"'!$F$29:$F$45")&lt;&gt;"",1,0)),0))-(IFERROR((ROW(INDIRECT("'"&amp;$B11&amp;"'!$F$29:$F$45"))-ROW(INDIRECT("'"&amp;$B11&amp;"'!$F$29"))+1)/--(FIND("VERIFICACIÓN: ", INDIRECT("'"&amp;$B11&amp;"'!$F$29:$F$45"))),0)))&lt;&gt;0,INDEX(INDIRECT("'"&amp;$B11&amp;"'!$A$29:$G$45"),MAX((IFERROR((ROW(INDIRECT("'"&amp;$B11&amp;"'!$F$29:$F$45"))-ROW(INDIRECT("'"&amp;$B11&amp;"'!$F$29"))+1)/--(IF(INDIRECT("'"&amp;$B11&amp;"'!$F$29:$F$45")&lt;&gt;"",1,0)),0))-(IFERROR((ROW(INDIRECT("'"&amp;$B11&amp;"'!$F$29:$F$45"))-ROW(INDIRECT("'"&amp;$B11&amp;"'!$F$29"))+1)/--(FIND("VERIFICACIÓN: ", INDIRECT("'"&amp;$B11&amp;"'!$F$29:$F$45"))),0))),6),"NO DISPONIBLE"),IF(MAX(IFERROR((_xlfn._xlws.FILTER((ROW(INDIRECT("'"&amp;$B11&amp;"'!$E$29:$E$45"))-ROW(INDIRECT("'"&amp;$B11&amp;"'!$E$29"))+1)/--(IF(INDIRECT("'"&amp;$B11&amp;"'!$E$29:$E$45")&lt;&gt;"",1,0)), NOT(ISNUMBER(MATCH((ROW(INDIRECT("'"&amp;$B11&amp;"'!$E$29:$E$45"))-ROW(INDIRECT("'"&amp;$B11&amp;"'!$E$29"))+1)/--(IF(INDIRECT("'"&amp;$B11&amp;"'!$E$29:$E$45")&lt;&gt;"",1,0)), (ROW(INDIRECT("'"&amp;$B11&amp;"'!$E$29:$E$45"))-ROW(INDIRECT("'"&amp;$B11&amp;"'!$E$29"))+1)/--(FIND("VERIFICACIÓN: ", INDIRECT("'"&amp;$B11&amp;"'!$E$29:$E$45"))), 0))))),0))&lt;&gt;0,INDEX(INDIRECT("'"&amp;$B11&amp;"'!$A$29:$G$45"),MAX((IFERROR((ROW(INDIRECT("'"&amp;$B11&amp;"'!$E$29:$E$45"))-ROW(INDIRECT("'"&amp;$B11&amp;"'!$E$29"))+1)/--(IF(INDIRECT("'"&amp;$B11&amp;"'!$E$29:$E$45")&lt;&gt;"",1,0)),0))-(IFERROR((ROW(INDIRECT("'"&amp;$B11&amp;"'!$E$29:$E$45"))-ROW(INDIRECT("'"&amp;$B11&amp;"'!$E$29"))+1)/--(FIND("VERIFICACIÓN: ", INDIRECT("'"&amp;$B11&amp;"'!$E$29:$E$45"))),0))),5),"NO DISPONIBLE"))</f>
        <v>MJM</v>
      </c>
      <c r="U11" s="3">
        <v>12</v>
      </c>
      <c r="V11" s="5" cm="1">
        <f t="array" aca="1" ref="V11" ca="1">IF((IFERROR(VLOOKUP(IFERROR(LOOKUP(2,1/((INDIRECT("'"&amp;$B11&amp;"'!$F$29:$F$45"))&lt;&gt;""),(INDIRECT("'"&amp;$B11&amp;"'!$F$29:$F$45"))),"NO DISPONIBLE"),CHOOSE({1,2},(INDIRECT("'"&amp;$B11&amp;"'!$F$29:$F$45")),(INDIRECT("'"&amp;$B11&amp;"'!$A$29:$A$45"))),2,0),0))&gt;(IFERROR(VLOOKUP(IFERROR(LOOKUP(2,1/((INDIRECT("'"&amp;$B11&amp;"'!$E$29:$E$45"))&lt;&gt;""),(INDIRECT("'"&amp;$B11&amp;"'!$E$29:$E$45"))),"NO DISPONIBLE"),CHOOSE({1,2},(INDIRECT("'"&amp;$B11&amp;"'!$E$29:$E$45")),(INDIRECT("'"&amp;$B11&amp;"'!$A$29:$A$45"))),2,0),0)),(IFERROR(VLOOKUP(IFERROR(LOOKUP(2,1/((INDIRECT("'"&amp;$B11&amp;"'!$F$29:$F$45"))&lt;&gt;""),(INDIRECT("'"&amp;$B11&amp;"'!$F$29:$F$45"))),"NO DISPONIBLE"),CHOOSE({1,2},(INDIRECT("'"&amp;$B11&amp;"'!$F$29:$F$45")),(INDIRECT("'"&amp;$B11&amp;"'!$A$29:$A$45"))),2,0),0)),(IFERROR(VLOOKUP(IFERROR(LOOKUP(2,1/((INDIRECT("'"&amp;$B11&amp;"'!$E$29:$E$45"))&lt;&gt;""),(INDIRECT("'"&amp;$B11&amp;"'!$E$29:$E$45"))),"NO DISPONIBLE"),CHOOSE({1,2},(INDIRECT("'"&amp;$B11&amp;"'!$E$29:$E$45")),(INDIRECT("'"&amp;$B11&amp;"'!$A$29:$A$45"))),2,0),0)))</f>
        <v>45632</v>
      </c>
      <c r="W11" s="6" t="s">
        <v>71</v>
      </c>
      <c r="X11" s="7" t="str" cm="1">
        <f t="array" aca="1" ref="X11" ca="1">IF((IFERROR(VLOOKUP(IFERROR(LOOKUP(2,1/((INDIRECT("'"&amp;$B11&amp;"'!$E$29:$E$45"))&lt;&gt;""),(INDIRECT("'"&amp;$B11&amp;"'!$E$29:$E$45"))),"NO DISPONIBLE"),CHOOSE({1,2},(INDIRECT("'"&amp;$B11&amp;"'!$E$29:$E$45")),(INDIRECT("'"&amp;$B11&amp;"'!$A$29:$A$45"))),2,0),0))&gt;(IFERROR(VLOOKUP(IFERROR(LOOKUP(2,1/((INDIRECT("'"&amp;$B11&amp;"'!$F$29:$F$45"))&lt;&gt;""),(INDIRECT("'"&amp;$B11&amp;"'!$F$29:$F$45"))),"NO DISPONIBLE"),CHOOSE({1,2},(INDIRECT("'"&amp;$B11&amp;"'!$F$29:$F$45")),(INDIRECT("'"&amp;$B11&amp;"'!$A$29:$A$45"))),2,0),0)),IFERROR(LOOKUP(2,1/((INDIRECT("'"&amp;$B11&amp;"'!$E$29:$E$45"))&lt;&gt;""),(INDIRECT("'"&amp;$B11&amp;"'!$E$29:$E$45"))),"NO DISPONIBLE"),IFERROR(LOOKUP(2,1/((INDIRECT("'"&amp;$B11&amp;"'!$F$29:$F$45"))&lt;&gt;""),(INDIRECT("'"&amp;$B11&amp;"'!$F$29:$F$45"))),"NO DISPONIBLE"))</f>
        <v>MJM</v>
      </c>
      <c r="Y11" s="3">
        <v>36</v>
      </c>
      <c r="Z11" s="5" cm="1">
        <f t="array" aca="1" ref="Z11" ca="1">IF((IFERROR(VLOOKUP(IFERROR(LOOKUP(2,1/((INDIRECT("'"&amp;$B11&amp;"'!$D$29:$D$45"))&lt;&gt;""),(INDIRECT("'"&amp;$B11&amp;"'!$D$29:$D$45"))),"NO DISPONIBLE"),CHOOSE({1,2},(INDIRECT("'"&amp;$B11&amp;"'!$D$29:$D$45")),(INDIRECT("'"&amp;$B11&amp;"'!$A$29:$A$45"))),2,0),0))&gt;(IFERROR(VLOOKUP(IFERROR(LOOKUP(2,1/((INDIRECT("'"&amp;$B11&amp;"'!$C$29:$C$45"))&lt;&gt;""),(INDIRECT("'"&amp;$B11&amp;"'!$C$29:$C$45"))),"NO DISPONIBLE"),CHOOSE({1,2},(INDIRECT("'"&amp;$B11&amp;"'!$C$29:$C$45")),(INDIRECT("'"&amp;$B11&amp;"'!$A$29:$A$45"))),2,0),0)),(IFERROR(VLOOKUP(IFERROR(LOOKUP(2,1/((INDIRECT("'"&amp;$B11&amp;"'!$D$29:$D$45"))&lt;&gt;""),(INDIRECT("'"&amp;$B11&amp;"'!$D$29:$D$45"))),"NO DISPONIBLE"),CHOOSE({1,2},(INDIRECT("'"&amp;$B11&amp;"'!$D$29:$D$45")),(INDIRECT("'"&amp;$B11&amp;"'!$A$29:$A$45"))),2,0),0)),(IFERROR(VLOOKUP(IFERROR(LOOKUP(2,1/((INDIRECT("'"&amp;$B11&amp;"'!$C$29:$C$45"))&lt;&gt;""),(INDIRECT("'"&amp;$B11&amp;"'!$C$29:$C$45"))),"NO DISPONIBLE"),CHOOSE({1,2},(INDIRECT("'"&amp;$B11&amp;"'!$C$29:$C$45")),(INDIRECT("'"&amp;$B11&amp;"'!$A$29:$A$45"))),2,0),0)))</f>
        <v>45632</v>
      </c>
      <c r="AA11" s="6" t="s">
        <v>73</v>
      </c>
      <c r="AB11" s="7" t="str" cm="1">
        <f t="array" aca="1" ref="AB11" ca="1">IF((IFERROR(VLOOKUP(IFERROR(LOOKUP(2,1/((INDIRECT("'"&amp;$B11&amp;"'!$C$29:$C$45"))&lt;&gt;""),(INDIRECT("'"&amp;$B11&amp;"'!$C$29:$C$45"))),"NO DISPONIBLE"),CHOOSE({1,2},(INDIRECT("'"&amp;$B11&amp;"'!$C$29:$C$45")),(INDIRECT("'"&amp;$B11&amp;"'!$A$29:$A$45"))),2,0),0))&gt;(IFERROR(VLOOKUP(IFERROR(LOOKUP(2,1/((INDIRECT("'"&amp;$B11&amp;"'!$D$29:$D$45"))&lt;&gt;""),(INDIRECT("'"&amp;$B11&amp;"'!$D$29:$D$45"))),"NO DISPONIBLE"),CHOOSE({1,2},(INDIRECT("'"&amp;$B11&amp;"'!$D$29:$D$45")),(INDIRECT("'"&amp;$B11&amp;"'!$A$29:$A$45"))),2,0),0)),IFERROR(LOOKUP(2,1/((INDIRECT("'"&amp;$B11&amp;"'!$C$29:$C$45"))&lt;&gt;""),(INDIRECT("'"&amp;$B11&amp;"'!$C$29:$C$45"))),"NO DISPONIBLE"),IFERROR(LOOKUP(2,1/((INDIRECT("'"&amp;$B11&amp;"'!$D$29:$D$45"))&lt;&gt;""),(INDIRECT("'"&amp;$B11&amp;"'!$D$29:$D$45"))),"NO DISPONIBLE"))</f>
        <v>MJM</v>
      </c>
      <c r="AC11" s="6" t="s">
        <v>82</v>
      </c>
      <c r="AD11" s="8"/>
    </row>
    <row r="12" spans="1:32" x14ac:dyDescent="0.3">
      <c r="A12" s="2" t="s">
        <v>27</v>
      </c>
      <c r="B12" s="2" t="str" cm="1">
        <f t="array" aca="1" ref="B12" ca="1">INDIRECT("'"&amp;$B12&amp;"'!$A$6")</f>
        <v>FUENTE DE PODER</v>
      </c>
      <c r="C12" s="3" t="str" cm="1">
        <f t="array" aca="1" ref="C12" ca="1">INDIRECT("'"&amp;$B12&amp;"'!$G$14")</f>
        <v>UNI-T</v>
      </c>
      <c r="D12" s="3" t="str" cm="1">
        <f t="array" aca="1" ref="D12" ca="1">INDIRECT("'"&amp;$B12&amp;"'!$G$15")</f>
        <v>UTP1310</v>
      </c>
      <c r="E12" s="24" t="str" cm="1">
        <f t="array" aca="1" ref="E12" ca="1">INDIRECT("'"&amp;$B12&amp;"'!$G$16")</f>
        <v>ATP062250001</v>
      </c>
      <c r="F12" s="3" t="s">
        <v>65</v>
      </c>
      <c r="G12" s="3" t="s">
        <v>67</v>
      </c>
      <c r="H12" s="3" t="str" cm="1">
        <f t="array" aca="1" ref="H12" ca="1">INDIRECT("'"&amp;$B12&amp;"'!$G$11")</f>
        <v xml:space="preserve">ELÉCTRICAS </v>
      </c>
      <c r="I12" s="3" t="str" cm="1">
        <f t="array" aca="1" ref="I12" ca="1">INDIRECT("'"&amp;$B12&amp;"'!$C$11")</f>
        <v>ALTA</v>
      </c>
      <c r="J12" s="3" t="str" cm="1">
        <f t="array" aca="1" ref="J12" ca="1">INDIRECT("'"&amp;$B12&amp;"'!$G$21")</f>
        <v>32 V</v>
      </c>
      <c r="K12" s="3" t="str" cm="1">
        <f t="array" aca="1" ref="K12" ca="1">INDIRECT("'"&amp;$B12&amp;"'!$G$22")</f>
        <v>10 mV</v>
      </c>
      <c r="L12" s="3" t="str" cm="1">
        <f t="array" aca="1" ref="L12" ca="1">INDIRECT("'"&amp;$B12&amp;"'!$G$23")</f>
        <v>10 mV</v>
      </c>
      <c r="M12" s="4"/>
      <c r="N12" s="3" t="str" cm="1">
        <f t="array" aca="1" ref="N12" ca="1">INDIRECT("'"&amp;$B12&amp;"'!$G$22")</f>
        <v>10 mV</v>
      </c>
      <c r="O12" s="3"/>
      <c r="P12" s="7" t="str" cm="1">
        <f t="array" aca="1" ref="P12" ca="1">IFERROR(LOOKUP(2,1/((INDIRECT("'"&amp;$B12&amp;"'!$G$29:$G$45"))&lt;&gt;""),(INDIRECT("'"&amp;$B12&amp;"'!$G$29:$G$45"))),"NO DISPONIBLE")</f>
        <v>FUNCIONAL</v>
      </c>
      <c r="Q12" s="3">
        <v>36</v>
      </c>
      <c r="R12" s="5" cm="1">
        <f t="array" aca="1" ref="R12" ca="1">IF(IF(MAX((IFERROR((ROW(INDIRECT("'"&amp;$B12&amp;"'!$F$29:$F$45"))-ROW(INDIRECT("'"&amp;$B12&amp;"'!$F$29"))+1)/--(IF(INDIRECT("'"&amp;$B12&amp;"'!$F$29:$F$45")&lt;&gt;"",1,0)),0))-(IFERROR((ROW(INDIRECT("'"&amp;$B12&amp;"'!$F$29:$F$45"))-ROW(INDIRECT("'"&amp;$B12&amp;"'!$F$29"))+1)/--(FIND("VERIFICACIÓN: ", INDIRECT("'"&amp;$B12&amp;"'!$F$29:$F$45"))),0)))&lt;&gt;0,INDEX(INDIRECT("'"&amp;$B12&amp;"'!$A$29:$G$45"),MAX((IFERROR((ROW(INDIRECT("'"&amp;$B12&amp;"'!$F$29:$F$45"))-ROW(INDIRECT("'"&amp;$B12&amp;"'!$F$29"))+1)/--(IF(INDIRECT("'"&amp;$B12&amp;"'!$F$29:$F$45")&lt;&gt;"",1,0)),0))-(IFERROR((ROW(INDIRECT("'"&amp;$B12&amp;"'!$F$29:$F$45"))-ROW(INDIRECT("'"&amp;$B12&amp;"'!$F$29"))+1)/--(FIND("VERIFICACIÓN: ", INDIRECT("'"&amp;$B12&amp;"'!$F$29:$F$45"))),0))),1),0)&gt;IF(MAX(IFERROR((_xlfn._xlws.FILTER((ROW(INDIRECT("'"&amp;$B12&amp;"'!$E$29:$E$45"))-ROW(INDIRECT("'"&amp;$B12&amp;"'!$E$29"))+1)/--(IF(INDIRECT("'"&amp;$B12&amp;"'!$E$29:$E$45")&lt;&gt;"",1,0)), NOT(ISNUMBER(MATCH((ROW(INDIRECT("'"&amp;$B12&amp;"'!$E$29:$E$45"))-ROW(INDIRECT("'"&amp;$B12&amp;"'!$E$29"))+1)/--(IF(INDIRECT("'"&amp;$B12&amp;"'!$E$29:$E$45")&lt;&gt;"",1,0)), (ROW(INDIRECT("'"&amp;$B12&amp;"'!$E$29:$E$45"))-ROW(INDIRECT("'"&amp;$B12&amp;"'!$E$29"))+1)/--(FIND("VERIFICACIÓN: ", INDIRECT("'"&amp;$B12&amp;"'!$E$29:$E$45"))), 0))))),0))&lt;&gt;0,INDEX(INDIRECT("'"&amp;$B12&amp;"'!$A$29:$G$45"),MAX((IFERROR((ROW(INDIRECT("'"&amp;$B12&amp;"'!$E$29:$E$45"))-ROW(INDIRECT("'"&amp;$B12&amp;"'!$E$29"))+1)/--(IF(INDIRECT("'"&amp;$B12&amp;"'!$E$29:$E$45")&lt;&gt;"",1,0)),0))-(IFERROR((ROW(INDIRECT("'"&amp;$B12&amp;"'!$E$29:$E$45"))-ROW(INDIRECT("'"&amp;$B12&amp;"'!$E$29"))+1)/--(FIND("VERIFICACIÓN: ", INDIRECT("'"&amp;$B12&amp;"'!$E$29:$E$45"))),0))),1),0),IF(MAX((IFERROR((ROW(INDIRECT("'"&amp;$B12&amp;"'!$F$29:$F$45"))-ROW(INDIRECT("'"&amp;$B12&amp;"'!$F$29"))+1)/--(IF(INDIRECT("'"&amp;$B12&amp;"'!$F$29:$F$45")&lt;&gt;"",1,0)),0))-(IFERROR((ROW(INDIRECT("'"&amp;$B12&amp;"'!$F$29:$F$45"))-ROW(INDIRECT("'"&amp;$B12&amp;"'!$F$29"))+1)/--(FIND("VERIFICACIÓN: ", INDIRECT("'"&amp;$B12&amp;"'!$F$29:$F$45"))),0)))&lt;&gt;0,INDEX(INDIRECT("'"&amp;$B12&amp;"'!$A$29:$G$45"),MAX((IFERROR((ROW(INDIRECT("'"&amp;$B12&amp;"'!$F$29:$F$45"))-ROW(INDIRECT("'"&amp;$B12&amp;"'!$F$29"))+1)/--(IF(INDIRECT("'"&amp;$B12&amp;"'!$F$29:$F$45")&lt;&gt;"",1,0)),0))-(IFERROR((ROW(INDIRECT("'"&amp;$B12&amp;"'!$F$29:$F$45"))-ROW(INDIRECT("'"&amp;$B12&amp;"'!$F$29"))+1)/--(FIND("VERIFICACIÓN: ", INDIRECT("'"&amp;$B12&amp;"'!$F$29:$F$45"))),0))),1),0),IF(MAX(IFERROR((_xlfn._xlws.FILTER((ROW(INDIRECT("'"&amp;$B12&amp;"'!$E$29:$E$45"))-ROW(INDIRECT("'"&amp;$B12&amp;"'!$E$29"))+1)/--(IF(INDIRECT("'"&amp;$B12&amp;"'!$E$29:$E$45")&lt;&gt;"",1,0)), NOT(ISNUMBER(MATCH((ROW(INDIRECT("'"&amp;$B12&amp;"'!$E$29:$E$45"))-ROW(INDIRECT("'"&amp;$B12&amp;"'!$E$29"))+1)/--(IF(INDIRECT("'"&amp;$B12&amp;"'!$E$29:$E$45")&lt;&gt;"",1,0)), (ROW(INDIRECT("'"&amp;$B12&amp;"'!$E$29:$E$45"))-ROW(INDIRECT("'"&amp;$B12&amp;"'!$E$29"))+1)/--(FIND("VERIFICACIÓN: ", INDIRECT("'"&amp;$B12&amp;"'!$E$29:$E$45"))), 0))))),0))&lt;&gt;0,INDEX(INDIRECT("'"&amp;$B12&amp;"'!$A$29:$G$45"),MAX((IFERROR((ROW(INDIRECT("'"&amp;$B12&amp;"'!$E$29:$E$45"))-ROW(INDIRECT("'"&amp;$B12&amp;"'!$E$29"))+1)/--(IF(INDIRECT("'"&amp;$B12&amp;"'!$E$29:$E$45")&lt;&gt;"",1,0)),0))-(IFERROR((ROW(INDIRECT("'"&amp;$B12&amp;"'!$E$29:$E$45"))-ROW(INDIRECT("'"&amp;$B12&amp;"'!$E$29"))+1)/--(FIND("VERIFICACIÓN: ", INDIRECT("'"&amp;$B12&amp;"'!$E$29:$E$45"))),0))),1),0))</f>
        <v>45625</v>
      </c>
      <c r="S12" s="6" t="s">
        <v>68</v>
      </c>
      <c r="T12" s="7" t="str" cm="1">
        <f t="array" aca="1" ref="T12" ca="1">IF(IF(MAX((IFERROR((ROW(INDIRECT("'"&amp;$B12&amp;"'!$F$29:$F$45"))-ROW(INDIRECT("'"&amp;$B12&amp;"'!$F$29"))+1)/--(IF(INDIRECT("'"&amp;$B12&amp;"'!$F$29:$F$45")&lt;&gt;"",1,0)),0))-(IFERROR((ROW(INDIRECT("'"&amp;$B12&amp;"'!$F$29:$F$45"))-ROW(INDIRECT("'"&amp;$B12&amp;"'!$F$29"))+1)/--(FIND("VERIFICACIÓN: ", INDIRECT("'"&amp;$B12&amp;"'!$F$29:$F$45"))),0)))&lt;&gt;0,INDEX(INDIRECT("'"&amp;$B12&amp;"'!$A$29:$G$45"),MAX((IFERROR((ROW(INDIRECT("'"&amp;$B12&amp;"'!$F$29:$F$45"))-ROW(INDIRECT("'"&amp;$B12&amp;"'!$F$29"))+1)/--(IF(INDIRECT("'"&amp;$B12&amp;"'!$F$29:$F$45")&lt;&gt;"",1,0)),0))-(IFERROR((ROW(INDIRECT("'"&amp;$B12&amp;"'!$F$29:$F$45"))-ROW(INDIRECT("'"&amp;$B12&amp;"'!$F$29"))+1)/--(FIND("VERIFICACIÓN: ", INDIRECT("'"&amp;$B12&amp;"'!$F$29:$F$45"))),0))),1),0)&gt;IF(MAX(IFERROR((_xlfn._xlws.FILTER((ROW(INDIRECT("'"&amp;$B12&amp;"'!$E$29:$E$45"))-ROW(INDIRECT("'"&amp;$B12&amp;"'!$E$29"))+1)/--(IF(INDIRECT("'"&amp;$B12&amp;"'!$E$29:$E$45")&lt;&gt;"",1,0)), NOT(ISNUMBER(MATCH((ROW(INDIRECT("'"&amp;$B12&amp;"'!$E$29:$E$45"))-ROW(INDIRECT("'"&amp;$B12&amp;"'!$E$29"))+1)/--(IF(INDIRECT("'"&amp;$B12&amp;"'!$E$29:$E$45")&lt;&gt;"",1,0)), (ROW(INDIRECT("'"&amp;$B12&amp;"'!$E$29:$E$45"))-ROW(INDIRECT("'"&amp;$B12&amp;"'!$E$29"))+1)/--(FIND("VERIFICACIÓN: ", INDIRECT("'"&amp;$B12&amp;"'!$E$29:$E$45"))), 0))))),0))&lt;&gt;0,INDEX(INDIRECT("'"&amp;$B12&amp;"'!$A$29:$G$45"),MAX((IFERROR((ROW(INDIRECT("'"&amp;$B12&amp;"'!$E$29:$E$45"))-ROW(INDIRECT("'"&amp;$B12&amp;"'!$E$29"))+1)/--(IF(INDIRECT("'"&amp;$B12&amp;"'!$E$29:$E$45")&lt;&gt;"",1,0)),0))-(IFERROR((ROW(INDIRECT("'"&amp;$B12&amp;"'!$E$29:$E$45"))-ROW(INDIRECT("'"&amp;$B12&amp;"'!$E$29"))+1)/--(FIND("VERIFICACIÓN: ", INDIRECT("'"&amp;$B12&amp;"'!$E$29:$E$45"))),0))),1),0),IF(MAX((IFERROR((ROW(INDIRECT("'"&amp;$B12&amp;"'!$F$29:$F$45"))-ROW(INDIRECT("'"&amp;$B12&amp;"'!$F$29"))+1)/--(IF(INDIRECT("'"&amp;$B12&amp;"'!$F$29:$F$45")&lt;&gt;"",1,0)),0))-(IFERROR((ROW(INDIRECT("'"&amp;$B12&amp;"'!$F$29:$F$45"))-ROW(INDIRECT("'"&amp;$B12&amp;"'!$F$29"))+1)/--(FIND("VERIFICACIÓN: ", INDIRECT("'"&amp;$B12&amp;"'!$F$29:$F$45"))),0)))&lt;&gt;0,INDEX(INDIRECT("'"&amp;$B12&amp;"'!$A$29:$G$45"),MAX((IFERROR((ROW(INDIRECT("'"&amp;$B12&amp;"'!$F$29:$F$45"))-ROW(INDIRECT("'"&amp;$B12&amp;"'!$F$29"))+1)/--(IF(INDIRECT("'"&amp;$B12&amp;"'!$F$29:$F$45")&lt;&gt;"",1,0)),0))-(IFERROR((ROW(INDIRECT("'"&amp;$B12&amp;"'!$F$29:$F$45"))-ROW(INDIRECT("'"&amp;$B12&amp;"'!$F$29"))+1)/--(FIND("VERIFICACIÓN: ", INDIRECT("'"&amp;$B12&amp;"'!$F$29:$F$45"))),0))),6),"NO DISPONIBLE"),IF(MAX(IFERROR((_xlfn._xlws.FILTER((ROW(INDIRECT("'"&amp;$B12&amp;"'!$E$29:$E$45"))-ROW(INDIRECT("'"&amp;$B12&amp;"'!$E$29"))+1)/--(IF(INDIRECT("'"&amp;$B12&amp;"'!$E$29:$E$45")&lt;&gt;"",1,0)), NOT(ISNUMBER(MATCH((ROW(INDIRECT("'"&amp;$B12&amp;"'!$E$29:$E$45"))-ROW(INDIRECT("'"&amp;$B12&amp;"'!$E$29"))+1)/--(IF(INDIRECT("'"&amp;$B12&amp;"'!$E$29:$E$45")&lt;&gt;"",1,0)), (ROW(INDIRECT("'"&amp;$B12&amp;"'!$E$29:$E$45"))-ROW(INDIRECT("'"&amp;$B12&amp;"'!$E$29"))+1)/--(FIND("VERIFICACIÓN: ", INDIRECT("'"&amp;$B12&amp;"'!$E$29:$E$45"))), 0))))),0))&lt;&gt;0,INDEX(INDIRECT("'"&amp;$B12&amp;"'!$A$29:$G$45"),MAX((IFERROR((ROW(INDIRECT("'"&amp;$B12&amp;"'!$E$29:$E$45"))-ROW(INDIRECT("'"&amp;$B12&amp;"'!$E$29"))+1)/--(IF(INDIRECT("'"&amp;$B12&amp;"'!$E$29:$E$45")&lt;&gt;"",1,0)),0))-(IFERROR((ROW(INDIRECT("'"&amp;$B12&amp;"'!$E$29:$E$45"))-ROW(INDIRECT("'"&amp;$B12&amp;"'!$E$29"))+1)/--(FIND("VERIFICACIÓN: ", INDIRECT("'"&amp;$B12&amp;"'!$E$29:$E$45"))),0))),5),"NO DISPONIBLE"))</f>
        <v>MJM</v>
      </c>
      <c r="U12" s="3">
        <v>12</v>
      </c>
      <c r="V12" s="5" cm="1">
        <f t="array" aca="1" ref="V12" ca="1">IF((IFERROR(VLOOKUP(IFERROR(LOOKUP(2,1/((INDIRECT("'"&amp;$B12&amp;"'!$F$29:$F$45"))&lt;&gt;""),(INDIRECT("'"&amp;$B12&amp;"'!$F$29:$F$45"))),"NO DISPONIBLE"),CHOOSE({1,2},(INDIRECT("'"&amp;$B12&amp;"'!$F$29:$F$45")),(INDIRECT("'"&amp;$B12&amp;"'!$A$29:$A$45"))),2,0),0))&gt;(IFERROR(VLOOKUP(IFERROR(LOOKUP(2,1/((INDIRECT("'"&amp;$B12&amp;"'!$E$29:$E$45"))&lt;&gt;""),(INDIRECT("'"&amp;$B12&amp;"'!$E$29:$E$45"))),"NO DISPONIBLE"),CHOOSE({1,2},(INDIRECT("'"&amp;$B12&amp;"'!$E$29:$E$45")),(INDIRECT("'"&amp;$B12&amp;"'!$A$29:$A$45"))),2,0),0)),(IFERROR(VLOOKUP(IFERROR(LOOKUP(2,1/((INDIRECT("'"&amp;$B12&amp;"'!$F$29:$F$45"))&lt;&gt;""),(INDIRECT("'"&amp;$B12&amp;"'!$F$29:$F$45"))),"NO DISPONIBLE"),CHOOSE({1,2},(INDIRECT("'"&amp;$B12&amp;"'!$F$29:$F$45")),(INDIRECT("'"&amp;$B12&amp;"'!$A$29:$A$45"))),2,0),0)),(IFERROR(VLOOKUP(IFERROR(LOOKUP(2,1/((INDIRECT("'"&amp;$B12&amp;"'!$E$29:$E$45"))&lt;&gt;""),(INDIRECT("'"&amp;$B12&amp;"'!$E$29:$E$45"))),"NO DISPONIBLE"),CHOOSE({1,2},(INDIRECT("'"&amp;$B12&amp;"'!$E$29:$E$45")),(INDIRECT("'"&amp;$B12&amp;"'!$A$29:$A$45"))),2,0),0)))</f>
        <v>45625</v>
      </c>
      <c r="W12" s="6" t="s">
        <v>71</v>
      </c>
      <c r="X12" s="7" t="str" cm="1">
        <f t="array" aca="1" ref="X12" ca="1">IF((IFERROR(VLOOKUP(IFERROR(LOOKUP(2,1/((INDIRECT("'"&amp;$B12&amp;"'!$E$29:$E$45"))&lt;&gt;""),(INDIRECT("'"&amp;$B12&amp;"'!$E$29:$E$45"))),"NO DISPONIBLE"),CHOOSE({1,2},(INDIRECT("'"&amp;$B12&amp;"'!$E$29:$E$45")),(INDIRECT("'"&amp;$B12&amp;"'!$A$29:$A$45"))),2,0),0))&gt;(IFERROR(VLOOKUP(IFERROR(LOOKUP(2,1/((INDIRECT("'"&amp;$B12&amp;"'!$F$29:$F$45"))&lt;&gt;""),(INDIRECT("'"&amp;$B12&amp;"'!$F$29:$F$45"))),"NO DISPONIBLE"),CHOOSE({1,2},(INDIRECT("'"&amp;$B12&amp;"'!$F$29:$F$45")),(INDIRECT("'"&amp;$B12&amp;"'!$A$29:$A$45"))),2,0),0)),IFERROR(LOOKUP(2,1/((INDIRECT("'"&amp;$B12&amp;"'!$E$29:$E$45"))&lt;&gt;""),(INDIRECT("'"&amp;$B12&amp;"'!$E$29:$E$45"))),"NO DISPONIBLE"),IFERROR(LOOKUP(2,1/((INDIRECT("'"&amp;$B12&amp;"'!$F$29:$F$45"))&lt;&gt;""),(INDIRECT("'"&amp;$B12&amp;"'!$F$29:$F$45"))),"NO DISPONIBLE"))</f>
        <v>MJM</v>
      </c>
      <c r="Y12" s="3">
        <v>36</v>
      </c>
      <c r="Z12" s="5" cm="1">
        <f t="array" aca="1" ref="Z12" ca="1">IF((IFERROR(VLOOKUP(IFERROR(LOOKUP(2,1/((INDIRECT("'"&amp;$B12&amp;"'!$D$29:$D$45"))&lt;&gt;""),(INDIRECT("'"&amp;$B12&amp;"'!$D$29:$D$45"))),"NO DISPONIBLE"),CHOOSE({1,2},(INDIRECT("'"&amp;$B12&amp;"'!$D$29:$D$45")),(INDIRECT("'"&amp;$B12&amp;"'!$A$29:$A$45"))),2,0),0))&gt;(IFERROR(VLOOKUP(IFERROR(LOOKUP(2,1/((INDIRECT("'"&amp;$B12&amp;"'!$C$29:$C$45"))&lt;&gt;""),(INDIRECT("'"&amp;$B12&amp;"'!$C$29:$C$45"))),"NO DISPONIBLE"),CHOOSE({1,2},(INDIRECT("'"&amp;$B12&amp;"'!$C$29:$C$45")),(INDIRECT("'"&amp;$B12&amp;"'!$A$29:$A$45"))),2,0),0)),(IFERROR(VLOOKUP(IFERROR(LOOKUP(2,1/((INDIRECT("'"&amp;$B12&amp;"'!$D$29:$D$45"))&lt;&gt;""),(INDIRECT("'"&amp;$B12&amp;"'!$D$29:$D$45"))),"NO DISPONIBLE"),CHOOSE({1,2},(INDIRECT("'"&amp;$B12&amp;"'!$D$29:$D$45")),(INDIRECT("'"&amp;$B12&amp;"'!$A$29:$A$45"))),2,0),0)),(IFERROR(VLOOKUP(IFERROR(LOOKUP(2,1/((INDIRECT("'"&amp;$B12&amp;"'!$C$29:$C$45"))&lt;&gt;""),(INDIRECT("'"&amp;$B12&amp;"'!$C$29:$C$45"))),"NO DISPONIBLE"),CHOOSE({1,2},(INDIRECT("'"&amp;$B12&amp;"'!$C$29:$C$45")),(INDIRECT("'"&amp;$B12&amp;"'!$A$29:$A$45"))),2,0),0)))</f>
        <v>45625</v>
      </c>
      <c r="AA12" s="6" t="s">
        <v>73</v>
      </c>
      <c r="AB12" s="7" t="str" cm="1">
        <f t="array" aca="1" ref="AB12" ca="1">IF((IFERROR(VLOOKUP(IFERROR(LOOKUP(2,1/((INDIRECT("'"&amp;$B12&amp;"'!$C$29:$C$45"))&lt;&gt;""),(INDIRECT("'"&amp;$B12&amp;"'!$C$29:$C$45"))),"NO DISPONIBLE"),CHOOSE({1,2},(INDIRECT("'"&amp;$B12&amp;"'!$C$29:$C$45")),(INDIRECT("'"&amp;$B12&amp;"'!$A$29:$A$45"))),2,0),0))&gt;(IFERROR(VLOOKUP(IFERROR(LOOKUP(2,1/((INDIRECT("'"&amp;$B12&amp;"'!$D$29:$D$45"))&lt;&gt;""),(INDIRECT("'"&amp;$B12&amp;"'!$D$29:$D$45"))),"NO DISPONIBLE"),CHOOSE({1,2},(INDIRECT("'"&amp;$B12&amp;"'!$D$29:$D$45")),(INDIRECT("'"&amp;$B12&amp;"'!$A$29:$A$45"))),2,0),0)),IFERROR(LOOKUP(2,1/((INDIRECT("'"&amp;$B12&amp;"'!$C$29:$C$45"))&lt;&gt;""),(INDIRECT("'"&amp;$B12&amp;"'!$C$29:$C$45"))),"NO DISPONIBLE"),IFERROR(LOOKUP(2,1/((INDIRECT("'"&amp;$B12&amp;"'!$D$29:$D$45"))&lt;&gt;""),(INDIRECT("'"&amp;$B12&amp;"'!$D$29:$D$45"))),"NO DISPONIBLE"))</f>
        <v>MJM</v>
      </c>
      <c r="AC12" s="6" t="s">
        <v>82</v>
      </c>
      <c r="AD12" s="8"/>
    </row>
    <row r="13" spans="1:32" x14ac:dyDescent="0.3">
      <c r="A13" s="2" t="s">
        <v>28</v>
      </c>
      <c r="B13" s="2" t="str" cm="1">
        <f t="array" aca="1" ref="B13" ca="1">INDIRECT("'"&amp;$B13&amp;"'!$A$6")</f>
        <v>SHEAKER (CALIBRADOR DE VIBRACIÓN)</v>
      </c>
      <c r="C13" s="3" t="str" cm="1">
        <f t="array" aca="1" ref="C13" ca="1">INDIRECT("'"&amp;$B13&amp;"'!$G$14")</f>
        <v>MMF</v>
      </c>
      <c r="D13" s="3" t="str" cm="1">
        <f t="array" aca="1" ref="D13" ca="1">INDIRECT("'"&amp;$B13&amp;"'!$G$15")</f>
        <v>VC21</v>
      </c>
      <c r="E13" s="24" cm="1">
        <f t="array" aca="1" ref="E13" ca="1">INDIRECT("'"&amp;$B13&amp;"'!$G$16")</f>
        <v>240557</v>
      </c>
      <c r="F13" s="3" t="s">
        <v>66</v>
      </c>
      <c r="G13" s="3" t="s">
        <v>67</v>
      </c>
      <c r="H13" s="3" t="str" cm="1">
        <f t="array" aca="1" ref="H13" ca="1">INDIRECT("'"&amp;$B13&amp;"'!$G$11")</f>
        <v>VIBRACIÓN</v>
      </c>
      <c r="I13" s="3" t="str" cm="1">
        <f t="array" aca="1" ref="I13" ca="1">INDIRECT("'"&amp;$B13&amp;"'!$C$11")</f>
        <v>ALTA</v>
      </c>
      <c r="J13" s="3" t="str" cm="1">
        <f t="array" aca="1" ref="J13" ca="1">INDIRECT("'"&amp;$B13&amp;"'!$G$21")</f>
        <v>1 m/s2</v>
      </c>
      <c r="K13" s="3" t="str" cm="1">
        <f t="array" aca="1" ref="K13" ca="1">INDIRECT("'"&amp;$B13&amp;"'!$G$22")</f>
        <v>20 m/s2</v>
      </c>
      <c r="L13" s="3" t="str" cm="1">
        <f t="array" aca="1" ref="L13" ca="1">INDIRECT("'"&amp;$B13&amp;"'!$G$23")</f>
        <v>--</v>
      </c>
      <c r="M13" s="4"/>
      <c r="N13" s="3" t="str" cm="1">
        <f t="array" aca="1" ref="N13" ca="1">INDIRECT("'"&amp;$B13&amp;"'!$G$22")</f>
        <v>20 m/s2</v>
      </c>
      <c r="O13" s="3"/>
      <c r="P13" s="7" t="str" cm="1">
        <f t="array" aca="1" ref="P13" ca="1">IFERROR(LOOKUP(2,1/((INDIRECT("'"&amp;$B13&amp;"'!$G$29:$G$45"))&lt;&gt;""),(INDIRECT("'"&amp;$B13&amp;"'!$G$29:$G$45"))),"NO DISPONIBLE")</f>
        <v>FUNCIONAL</v>
      </c>
      <c r="Q13" s="3">
        <v>36</v>
      </c>
      <c r="R13" s="5" cm="1">
        <f t="array" aca="1" ref="R13" ca="1">IF(IF(MAX((IFERROR((ROW(INDIRECT("'"&amp;$B13&amp;"'!$F$29:$F$45"))-ROW(INDIRECT("'"&amp;$B13&amp;"'!$F$29"))+1)/--(IF(INDIRECT("'"&amp;$B13&amp;"'!$F$29:$F$45")&lt;&gt;"",1,0)),0))-(IFERROR((ROW(INDIRECT("'"&amp;$B13&amp;"'!$F$29:$F$45"))-ROW(INDIRECT("'"&amp;$B13&amp;"'!$F$29"))+1)/--(FIND("VERIFICACIÓN: ", INDIRECT("'"&amp;$B13&amp;"'!$F$29:$F$45"))),0)))&lt;&gt;0,INDEX(INDIRECT("'"&amp;$B13&amp;"'!$A$29:$G$45"),MAX((IFERROR((ROW(INDIRECT("'"&amp;$B13&amp;"'!$F$29:$F$45"))-ROW(INDIRECT("'"&amp;$B13&amp;"'!$F$29"))+1)/--(IF(INDIRECT("'"&amp;$B13&amp;"'!$F$29:$F$45")&lt;&gt;"",1,0)),0))-(IFERROR((ROW(INDIRECT("'"&amp;$B13&amp;"'!$F$29:$F$45"))-ROW(INDIRECT("'"&amp;$B13&amp;"'!$F$29"))+1)/--(FIND("VERIFICACIÓN: ", INDIRECT("'"&amp;$B13&amp;"'!$F$29:$F$45"))),0))),1),0)&gt;IF(MAX(IFERROR((_xlfn._xlws.FILTER((ROW(INDIRECT("'"&amp;$B13&amp;"'!$E$29:$E$45"))-ROW(INDIRECT("'"&amp;$B13&amp;"'!$E$29"))+1)/--(IF(INDIRECT("'"&amp;$B13&amp;"'!$E$29:$E$45")&lt;&gt;"",1,0)), NOT(ISNUMBER(MATCH((ROW(INDIRECT("'"&amp;$B13&amp;"'!$E$29:$E$45"))-ROW(INDIRECT("'"&amp;$B13&amp;"'!$E$29"))+1)/--(IF(INDIRECT("'"&amp;$B13&amp;"'!$E$29:$E$45")&lt;&gt;"",1,0)), (ROW(INDIRECT("'"&amp;$B13&amp;"'!$E$29:$E$45"))-ROW(INDIRECT("'"&amp;$B13&amp;"'!$E$29"))+1)/--(FIND("VERIFICACIÓN: ", INDIRECT("'"&amp;$B13&amp;"'!$E$29:$E$45"))), 0))))),0))&lt;&gt;0,INDEX(INDIRECT("'"&amp;$B13&amp;"'!$A$29:$G$45"),MAX((IFERROR((ROW(INDIRECT("'"&amp;$B13&amp;"'!$E$29:$E$45"))-ROW(INDIRECT("'"&amp;$B13&amp;"'!$E$29"))+1)/--(IF(INDIRECT("'"&amp;$B13&amp;"'!$E$29:$E$45")&lt;&gt;"",1,0)),0))-(IFERROR((ROW(INDIRECT("'"&amp;$B13&amp;"'!$E$29:$E$45"))-ROW(INDIRECT("'"&amp;$B13&amp;"'!$E$29"))+1)/--(FIND("VERIFICACIÓN: ", INDIRECT("'"&amp;$B13&amp;"'!$E$29:$E$45"))),0))),1),0),IF(MAX((IFERROR((ROW(INDIRECT("'"&amp;$B13&amp;"'!$F$29:$F$45"))-ROW(INDIRECT("'"&amp;$B13&amp;"'!$F$29"))+1)/--(IF(INDIRECT("'"&amp;$B13&amp;"'!$F$29:$F$45")&lt;&gt;"",1,0)),0))-(IFERROR((ROW(INDIRECT("'"&amp;$B13&amp;"'!$F$29:$F$45"))-ROW(INDIRECT("'"&amp;$B13&amp;"'!$F$29"))+1)/--(FIND("VERIFICACIÓN: ", INDIRECT("'"&amp;$B13&amp;"'!$F$29:$F$45"))),0)))&lt;&gt;0,INDEX(INDIRECT("'"&amp;$B13&amp;"'!$A$29:$G$45"),MAX((IFERROR((ROW(INDIRECT("'"&amp;$B13&amp;"'!$F$29:$F$45"))-ROW(INDIRECT("'"&amp;$B13&amp;"'!$F$29"))+1)/--(IF(INDIRECT("'"&amp;$B13&amp;"'!$F$29:$F$45")&lt;&gt;"",1,0)),0))-(IFERROR((ROW(INDIRECT("'"&amp;$B13&amp;"'!$F$29:$F$45"))-ROW(INDIRECT("'"&amp;$B13&amp;"'!$F$29"))+1)/--(FIND("VERIFICACIÓN: ", INDIRECT("'"&amp;$B13&amp;"'!$F$29:$F$45"))),0))),1),0),IF(MAX(IFERROR((_xlfn._xlws.FILTER((ROW(INDIRECT("'"&amp;$B13&amp;"'!$E$29:$E$45"))-ROW(INDIRECT("'"&amp;$B13&amp;"'!$E$29"))+1)/--(IF(INDIRECT("'"&amp;$B13&amp;"'!$E$29:$E$45")&lt;&gt;"",1,0)), NOT(ISNUMBER(MATCH((ROW(INDIRECT("'"&amp;$B13&amp;"'!$E$29:$E$45"))-ROW(INDIRECT("'"&amp;$B13&amp;"'!$E$29"))+1)/--(IF(INDIRECT("'"&amp;$B13&amp;"'!$E$29:$E$45")&lt;&gt;"",1,0)), (ROW(INDIRECT("'"&amp;$B13&amp;"'!$E$29:$E$45"))-ROW(INDIRECT("'"&amp;$B13&amp;"'!$E$29"))+1)/--(FIND("VERIFICACIÓN: ", INDIRECT("'"&amp;$B13&amp;"'!$E$29:$E$45"))), 0))))),0))&lt;&gt;0,INDEX(INDIRECT("'"&amp;$B13&amp;"'!$A$29:$G$45"),MAX((IFERROR((ROW(INDIRECT("'"&amp;$B13&amp;"'!$E$29:$E$45"))-ROW(INDIRECT("'"&amp;$B13&amp;"'!$E$29"))+1)/--(IF(INDIRECT("'"&amp;$B13&amp;"'!$E$29:$E$45")&lt;&gt;"",1,0)),0))-(IFERROR((ROW(INDIRECT("'"&amp;$B13&amp;"'!$E$29:$E$45"))-ROW(INDIRECT("'"&amp;$B13&amp;"'!$E$29"))+1)/--(FIND("VERIFICACIÓN: ", INDIRECT("'"&amp;$B13&amp;"'!$E$29:$E$45"))),0))),1),0))</f>
        <v>45489</v>
      </c>
      <c r="S13" s="6" t="s">
        <v>68</v>
      </c>
      <c r="T13" s="7" t="str" cm="1">
        <f t="array" aca="1" ref="T13" ca="1">IF(IF(MAX((IFERROR((ROW(INDIRECT("'"&amp;$B13&amp;"'!$F$29:$F$45"))-ROW(INDIRECT("'"&amp;$B13&amp;"'!$F$29"))+1)/--(IF(INDIRECT("'"&amp;$B13&amp;"'!$F$29:$F$45")&lt;&gt;"",1,0)),0))-(IFERROR((ROW(INDIRECT("'"&amp;$B13&amp;"'!$F$29:$F$45"))-ROW(INDIRECT("'"&amp;$B13&amp;"'!$F$29"))+1)/--(FIND("VERIFICACIÓN: ", INDIRECT("'"&amp;$B13&amp;"'!$F$29:$F$45"))),0)))&lt;&gt;0,INDEX(INDIRECT("'"&amp;$B13&amp;"'!$A$29:$G$45"),MAX((IFERROR((ROW(INDIRECT("'"&amp;$B13&amp;"'!$F$29:$F$45"))-ROW(INDIRECT("'"&amp;$B13&amp;"'!$F$29"))+1)/--(IF(INDIRECT("'"&amp;$B13&amp;"'!$F$29:$F$45")&lt;&gt;"",1,0)),0))-(IFERROR((ROW(INDIRECT("'"&amp;$B13&amp;"'!$F$29:$F$45"))-ROW(INDIRECT("'"&amp;$B13&amp;"'!$F$29"))+1)/--(FIND("VERIFICACIÓN: ", INDIRECT("'"&amp;$B13&amp;"'!$F$29:$F$45"))),0))),1),0)&gt;IF(MAX(IFERROR((_xlfn._xlws.FILTER((ROW(INDIRECT("'"&amp;$B13&amp;"'!$E$29:$E$45"))-ROW(INDIRECT("'"&amp;$B13&amp;"'!$E$29"))+1)/--(IF(INDIRECT("'"&amp;$B13&amp;"'!$E$29:$E$45")&lt;&gt;"",1,0)), NOT(ISNUMBER(MATCH((ROW(INDIRECT("'"&amp;$B13&amp;"'!$E$29:$E$45"))-ROW(INDIRECT("'"&amp;$B13&amp;"'!$E$29"))+1)/--(IF(INDIRECT("'"&amp;$B13&amp;"'!$E$29:$E$45")&lt;&gt;"",1,0)), (ROW(INDIRECT("'"&amp;$B13&amp;"'!$E$29:$E$45"))-ROW(INDIRECT("'"&amp;$B13&amp;"'!$E$29"))+1)/--(FIND("VERIFICACIÓN: ", INDIRECT("'"&amp;$B13&amp;"'!$E$29:$E$45"))), 0))))),0))&lt;&gt;0,INDEX(INDIRECT("'"&amp;$B13&amp;"'!$A$29:$G$45"),MAX((IFERROR((ROW(INDIRECT("'"&amp;$B13&amp;"'!$E$29:$E$45"))-ROW(INDIRECT("'"&amp;$B13&amp;"'!$E$29"))+1)/--(IF(INDIRECT("'"&amp;$B13&amp;"'!$E$29:$E$45")&lt;&gt;"",1,0)),0))-(IFERROR((ROW(INDIRECT("'"&amp;$B13&amp;"'!$E$29:$E$45"))-ROW(INDIRECT("'"&amp;$B13&amp;"'!$E$29"))+1)/--(FIND("VERIFICACIÓN: ", INDIRECT("'"&amp;$B13&amp;"'!$E$29:$E$45"))),0))),1),0),IF(MAX((IFERROR((ROW(INDIRECT("'"&amp;$B13&amp;"'!$F$29:$F$45"))-ROW(INDIRECT("'"&amp;$B13&amp;"'!$F$29"))+1)/--(IF(INDIRECT("'"&amp;$B13&amp;"'!$F$29:$F$45")&lt;&gt;"",1,0)),0))-(IFERROR((ROW(INDIRECT("'"&amp;$B13&amp;"'!$F$29:$F$45"))-ROW(INDIRECT("'"&amp;$B13&amp;"'!$F$29"))+1)/--(FIND("VERIFICACIÓN: ", INDIRECT("'"&amp;$B13&amp;"'!$F$29:$F$45"))),0)))&lt;&gt;0,INDEX(INDIRECT("'"&amp;$B13&amp;"'!$A$29:$G$45"),MAX((IFERROR((ROW(INDIRECT("'"&amp;$B13&amp;"'!$F$29:$F$45"))-ROW(INDIRECT("'"&amp;$B13&amp;"'!$F$29"))+1)/--(IF(INDIRECT("'"&amp;$B13&amp;"'!$F$29:$F$45")&lt;&gt;"",1,0)),0))-(IFERROR((ROW(INDIRECT("'"&amp;$B13&amp;"'!$F$29:$F$45"))-ROW(INDIRECT("'"&amp;$B13&amp;"'!$F$29"))+1)/--(FIND("VERIFICACIÓN: ", INDIRECT("'"&amp;$B13&amp;"'!$F$29:$F$45"))),0))),6),"NO DISPONIBLE"),IF(MAX(IFERROR((_xlfn._xlws.FILTER((ROW(INDIRECT("'"&amp;$B13&amp;"'!$E$29:$E$45"))-ROW(INDIRECT("'"&amp;$B13&amp;"'!$E$29"))+1)/--(IF(INDIRECT("'"&amp;$B13&amp;"'!$E$29:$E$45")&lt;&gt;"",1,0)), NOT(ISNUMBER(MATCH((ROW(INDIRECT("'"&amp;$B13&amp;"'!$E$29:$E$45"))-ROW(INDIRECT("'"&amp;$B13&amp;"'!$E$29"))+1)/--(IF(INDIRECT("'"&amp;$B13&amp;"'!$E$29:$E$45")&lt;&gt;"",1,0)), (ROW(INDIRECT("'"&amp;$B13&amp;"'!$E$29:$E$45"))-ROW(INDIRECT("'"&amp;$B13&amp;"'!$E$29"))+1)/--(FIND("VERIFICACIÓN: ", INDIRECT("'"&amp;$B13&amp;"'!$E$29:$E$45"))), 0))))),0))&lt;&gt;0,INDEX(INDIRECT("'"&amp;$B13&amp;"'!$A$29:$G$45"),MAX((IFERROR((ROW(INDIRECT("'"&amp;$B13&amp;"'!$E$29:$E$45"))-ROW(INDIRECT("'"&amp;$B13&amp;"'!$E$29"))+1)/--(IF(INDIRECT("'"&amp;$B13&amp;"'!$E$29:$E$45")&lt;&gt;"",1,0)),0))-(IFERROR((ROW(INDIRECT("'"&amp;$B13&amp;"'!$E$29:$E$45"))-ROW(INDIRECT("'"&amp;$B13&amp;"'!$E$29"))+1)/--(FIND("VERIFICACIÓN: ", INDIRECT("'"&amp;$B13&amp;"'!$E$29:$E$45"))),0))),5),"NO DISPONIBLE"))</f>
        <v>0343 / MMF (Fabricante)</v>
      </c>
      <c r="U13" s="3" t="s">
        <v>69</v>
      </c>
      <c r="V13" s="5" cm="1">
        <f t="array" aca="1" ref="V13" ca="1">IF((IFERROR(VLOOKUP(IFERROR(LOOKUP(2,1/((INDIRECT("'"&amp;$B13&amp;"'!$F$29:$F$45"))&lt;&gt;""),(INDIRECT("'"&amp;$B13&amp;"'!$F$29:$F$45"))),"NO DISPONIBLE"),CHOOSE({1,2},(INDIRECT("'"&amp;$B13&amp;"'!$F$29:$F$45")),(INDIRECT("'"&amp;$B13&amp;"'!$A$29:$A$45"))),2,0),0))&gt;(IFERROR(VLOOKUP(IFERROR(LOOKUP(2,1/((INDIRECT("'"&amp;$B13&amp;"'!$E$29:$E$45"))&lt;&gt;""),(INDIRECT("'"&amp;$B13&amp;"'!$E$29:$E$45"))),"NO DISPONIBLE"),CHOOSE({1,2},(INDIRECT("'"&amp;$B13&amp;"'!$E$29:$E$45")),(INDIRECT("'"&amp;$B13&amp;"'!$A$29:$A$45"))),2,0),0)),(IFERROR(VLOOKUP(IFERROR(LOOKUP(2,1/((INDIRECT("'"&amp;$B13&amp;"'!$F$29:$F$45"))&lt;&gt;""),(INDIRECT("'"&amp;$B13&amp;"'!$F$29:$F$45"))),"NO DISPONIBLE"),CHOOSE({1,2},(INDIRECT("'"&amp;$B13&amp;"'!$F$29:$F$45")),(INDIRECT("'"&amp;$B13&amp;"'!$A$29:$A$45"))),2,0),0)),(IFERROR(VLOOKUP(IFERROR(LOOKUP(2,1/((INDIRECT("'"&amp;$B13&amp;"'!$E$29:$E$45"))&lt;&gt;""),(INDIRECT("'"&amp;$B13&amp;"'!$E$29:$E$45"))),"NO DISPONIBLE"),CHOOSE({1,2},(INDIRECT("'"&amp;$B13&amp;"'!$E$29:$E$45")),(INDIRECT("'"&amp;$B13&amp;"'!$A$29:$A$45"))),2,0),0)))</f>
        <v>45489</v>
      </c>
      <c r="W13" s="6" t="s">
        <v>70</v>
      </c>
      <c r="X13" s="7" t="str" cm="1">
        <f t="array" aca="1" ref="X13" ca="1">IF((IFERROR(VLOOKUP(IFERROR(LOOKUP(2,1/((INDIRECT("'"&amp;$B13&amp;"'!$E$29:$E$45"))&lt;&gt;""),(INDIRECT("'"&amp;$B13&amp;"'!$E$29:$E$45"))),"NO DISPONIBLE"),CHOOSE({1,2},(INDIRECT("'"&amp;$B13&amp;"'!$E$29:$E$45")),(INDIRECT("'"&amp;$B13&amp;"'!$A$29:$A$45"))),2,0),0))&gt;(IFERROR(VLOOKUP(IFERROR(LOOKUP(2,1/((INDIRECT("'"&amp;$B13&amp;"'!$F$29:$F$45"))&lt;&gt;""),(INDIRECT("'"&amp;$B13&amp;"'!$F$29:$F$45"))),"NO DISPONIBLE"),CHOOSE({1,2},(INDIRECT("'"&amp;$B13&amp;"'!$F$29:$F$45")),(INDIRECT("'"&amp;$B13&amp;"'!$A$29:$A$45"))),2,0),0)),IFERROR(LOOKUP(2,1/((INDIRECT("'"&amp;$B13&amp;"'!$E$29:$E$45"))&lt;&gt;""),(INDIRECT("'"&amp;$B13&amp;"'!$E$29:$E$45"))),"NO DISPONIBLE"),IFERROR(LOOKUP(2,1/((INDIRECT("'"&amp;$B13&amp;"'!$F$29:$F$45"))&lt;&gt;""),(INDIRECT("'"&amp;$B13&amp;"'!$F$29:$F$45"))),"NO DISPONIBLE"))</f>
        <v>0343 / MMF (Fabricante)</v>
      </c>
      <c r="Y13" s="3">
        <v>12</v>
      </c>
      <c r="Z13" s="5" cm="1">
        <f t="array" aca="1" ref="Z13" ca="1">IF((IFERROR(VLOOKUP(IFERROR(LOOKUP(2,1/((INDIRECT("'"&amp;$B13&amp;"'!$D$29:$D$45"))&lt;&gt;""),(INDIRECT("'"&amp;$B13&amp;"'!$D$29:$D$45"))),"NO DISPONIBLE"),CHOOSE({1,2},(INDIRECT("'"&amp;$B13&amp;"'!$D$29:$D$45")),(INDIRECT("'"&amp;$B13&amp;"'!$A$29:$A$45"))),2,0),0))&gt;(IFERROR(VLOOKUP(IFERROR(LOOKUP(2,1/((INDIRECT("'"&amp;$B13&amp;"'!$C$29:$C$45"))&lt;&gt;""),(INDIRECT("'"&amp;$B13&amp;"'!$C$29:$C$45"))),"NO DISPONIBLE"),CHOOSE({1,2},(INDIRECT("'"&amp;$B13&amp;"'!$C$29:$C$45")),(INDIRECT("'"&amp;$B13&amp;"'!$A$29:$A$45"))),2,0),0)),(IFERROR(VLOOKUP(IFERROR(LOOKUP(2,1/((INDIRECT("'"&amp;$B13&amp;"'!$D$29:$D$45"))&lt;&gt;""),(INDIRECT("'"&amp;$B13&amp;"'!$D$29:$D$45"))),"NO DISPONIBLE"),CHOOSE({1,2},(INDIRECT("'"&amp;$B13&amp;"'!$D$29:$D$45")),(INDIRECT("'"&amp;$B13&amp;"'!$A$29:$A$45"))),2,0),0)),(IFERROR(VLOOKUP(IFERROR(LOOKUP(2,1/((INDIRECT("'"&amp;$B13&amp;"'!$C$29:$C$45"))&lt;&gt;""),(INDIRECT("'"&amp;$B13&amp;"'!$C$29:$C$45"))),"NO DISPONIBLE"),CHOOSE({1,2},(INDIRECT("'"&amp;$B13&amp;"'!$C$29:$C$45")),(INDIRECT("'"&amp;$B13&amp;"'!$A$29:$A$45"))),2,0),0)))</f>
        <v>45489</v>
      </c>
      <c r="AA13" s="6" t="s">
        <v>72</v>
      </c>
      <c r="AB13" s="7" t="str" cm="1">
        <f t="array" aca="1" ref="AB13" ca="1">IF((IFERROR(VLOOKUP(IFERROR(LOOKUP(2,1/((INDIRECT("'"&amp;$B13&amp;"'!$C$29:$C$45"))&lt;&gt;""),(INDIRECT("'"&amp;$B13&amp;"'!$C$29:$C$45"))),"NO DISPONIBLE"),CHOOSE({1,2},(INDIRECT("'"&amp;$B13&amp;"'!$C$29:$C$45")),(INDIRECT("'"&amp;$B13&amp;"'!$A$29:$A$45"))),2,0),0))&gt;(IFERROR(VLOOKUP(IFERROR(LOOKUP(2,1/((INDIRECT("'"&amp;$B13&amp;"'!$D$29:$D$45"))&lt;&gt;""),(INDIRECT("'"&amp;$B13&amp;"'!$D$29:$D$45"))),"NO DISPONIBLE"),CHOOSE({1,2},(INDIRECT("'"&amp;$B13&amp;"'!$D$29:$D$45")),(INDIRECT("'"&amp;$B13&amp;"'!$A$29:$A$45"))),2,0),0)),IFERROR(LOOKUP(2,1/((INDIRECT("'"&amp;$B13&amp;"'!$C$29:$C$45"))&lt;&gt;""),(INDIRECT("'"&amp;$B13&amp;"'!$C$29:$C$45"))),"NO DISPONIBLE"),IFERROR(LOOKUP(2,1/((INDIRECT("'"&amp;$B13&amp;"'!$D$29:$D$45"))&lt;&gt;""),(INDIRECT("'"&amp;$B13&amp;"'!$D$29:$D$45"))),"NO DISPONIBLE"))</f>
        <v>EQUIPO NUEVO</v>
      </c>
      <c r="AC13" s="6" t="s">
        <v>82</v>
      </c>
      <c r="AD13" s="8"/>
    </row>
    <row r="14" spans="1:32" x14ac:dyDescent="0.3">
      <c r="A14" s="2" t="s">
        <v>29</v>
      </c>
      <c r="B14" s="2" t="str" cm="1">
        <f t="array" aca="1" ref="B14" ca="1">INDIRECT("'"&amp;$B14&amp;"'!$A$6")</f>
        <v>TERMOHIGRÓMETRO</v>
      </c>
      <c r="C14" s="3" t="str" cm="1">
        <f t="array" aca="1" ref="C14" ca="1">INDIRECT("'"&amp;$B14&amp;"'!$G$14")</f>
        <v>UNI-T</v>
      </c>
      <c r="D14" s="3" t="str" cm="1">
        <f t="array" aca="1" ref="D14" ca="1">INDIRECT("'"&amp;$B14&amp;"'!$G$15")</f>
        <v>A12T</v>
      </c>
      <c r="E14" s="24" t="str" cm="1">
        <f t="array" aca="1" ref="E14" ca="1">INDIRECT("'"&amp;$B14&amp;"'!$G$16")</f>
        <v>C21026329</v>
      </c>
      <c r="F14" s="3" t="s">
        <v>65</v>
      </c>
      <c r="G14" s="3" t="s">
        <v>67</v>
      </c>
      <c r="H14" s="3" t="str" cm="1">
        <f t="array" aca="1" ref="H14" ca="1">INDIRECT("'"&amp;$B14&amp;"'!$G$11")</f>
        <v>TEMPERATURA</v>
      </c>
      <c r="I14" s="3" t="str" cm="1">
        <f t="array" aca="1" ref="I14" ca="1">INDIRECT("'"&amp;$B14&amp;"'!$C$11")</f>
        <v>ALTA</v>
      </c>
      <c r="J14" s="3" t="str" cm="1">
        <f t="array" aca="1" ref="J14" ca="1">INDIRECT("'"&amp;$B14&amp;"'!$G$21")</f>
        <v>99°C</v>
      </c>
      <c r="K14" s="3" t="str" cm="1">
        <f t="array" aca="1" ref="K14" ca="1">INDIRECT("'"&amp;$B14&amp;"'!$G$22")</f>
        <v>N/A</v>
      </c>
      <c r="L14" s="3" t="str" cm="1">
        <f t="array" aca="1" ref="L14" ca="1">INDIRECT("'"&amp;$B14&amp;"'!$G$23")</f>
        <v>0,1°C</v>
      </c>
      <c r="M14" s="4"/>
      <c r="N14" s="3" t="str" cm="1">
        <f t="array" aca="1" ref="N14" ca="1">INDIRECT("'"&amp;$B14&amp;"'!$G$22")</f>
        <v>N/A</v>
      </c>
      <c r="O14" s="3"/>
      <c r="P14" s="7" t="str" cm="1">
        <f t="array" aca="1" ref="P14" ca="1">IFERROR(LOOKUP(2,1/((INDIRECT("'"&amp;$B14&amp;"'!$G$29:$G$45"))&lt;&gt;""),(INDIRECT("'"&amp;$B14&amp;"'!$G$29:$G$45"))),"NO DISPONIBLE")</f>
        <v>FUNCIONAL</v>
      </c>
      <c r="Q14" s="3">
        <v>24</v>
      </c>
      <c r="R14" s="5" cm="1">
        <f t="array" aca="1" ref="R14" ca="1">IF(IF(MAX((IFERROR((ROW(INDIRECT("'"&amp;$B14&amp;"'!$F$29:$F$45"))-ROW(INDIRECT("'"&amp;$B14&amp;"'!$F$29"))+1)/--(IF(INDIRECT("'"&amp;$B14&amp;"'!$F$29:$F$45")&lt;&gt;"",1,0)),0))-(IFERROR((ROW(INDIRECT("'"&amp;$B14&amp;"'!$F$29:$F$45"))-ROW(INDIRECT("'"&amp;$B14&amp;"'!$F$29"))+1)/--(FIND("VERIFICACIÓN: ", INDIRECT("'"&amp;$B14&amp;"'!$F$29:$F$45"))),0)))&lt;&gt;0,INDEX(INDIRECT("'"&amp;$B14&amp;"'!$A$29:$G$45"),MAX((IFERROR((ROW(INDIRECT("'"&amp;$B14&amp;"'!$F$29:$F$45"))-ROW(INDIRECT("'"&amp;$B14&amp;"'!$F$29"))+1)/--(IF(INDIRECT("'"&amp;$B14&amp;"'!$F$29:$F$45")&lt;&gt;"",1,0)),0))-(IFERROR((ROW(INDIRECT("'"&amp;$B14&amp;"'!$F$29:$F$45"))-ROW(INDIRECT("'"&amp;$B14&amp;"'!$F$29"))+1)/--(FIND("VERIFICACIÓN: ", INDIRECT("'"&amp;$B14&amp;"'!$F$29:$F$45"))),0))),1),0)&gt;IF(MAX(IFERROR((_xlfn._xlws.FILTER((ROW(INDIRECT("'"&amp;$B14&amp;"'!$E$29:$E$45"))-ROW(INDIRECT("'"&amp;$B14&amp;"'!$E$29"))+1)/--(IF(INDIRECT("'"&amp;$B14&amp;"'!$E$29:$E$45")&lt;&gt;"",1,0)), NOT(ISNUMBER(MATCH((ROW(INDIRECT("'"&amp;$B14&amp;"'!$E$29:$E$45"))-ROW(INDIRECT("'"&amp;$B14&amp;"'!$E$29"))+1)/--(IF(INDIRECT("'"&amp;$B14&amp;"'!$E$29:$E$45")&lt;&gt;"",1,0)), (ROW(INDIRECT("'"&amp;$B14&amp;"'!$E$29:$E$45"))-ROW(INDIRECT("'"&amp;$B14&amp;"'!$E$29"))+1)/--(FIND("VERIFICACIÓN: ", INDIRECT("'"&amp;$B14&amp;"'!$E$29:$E$45"))), 0))))),0))&lt;&gt;0,INDEX(INDIRECT("'"&amp;$B14&amp;"'!$A$29:$G$45"),MAX((IFERROR((ROW(INDIRECT("'"&amp;$B14&amp;"'!$E$29:$E$45"))-ROW(INDIRECT("'"&amp;$B14&amp;"'!$E$29"))+1)/--(IF(INDIRECT("'"&amp;$B14&amp;"'!$E$29:$E$45")&lt;&gt;"",1,0)),0))-(IFERROR((ROW(INDIRECT("'"&amp;$B14&amp;"'!$E$29:$E$45"))-ROW(INDIRECT("'"&amp;$B14&amp;"'!$E$29"))+1)/--(FIND("VERIFICACIÓN: ", INDIRECT("'"&amp;$B14&amp;"'!$E$29:$E$45"))),0))),1),0),IF(MAX((IFERROR((ROW(INDIRECT("'"&amp;$B14&amp;"'!$F$29:$F$45"))-ROW(INDIRECT("'"&amp;$B14&amp;"'!$F$29"))+1)/--(IF(INDIRECT("'"&amp;$B14&amp;"'!$F$29:$F$45")&lt;&gt;"",1,0)),0))-(IFERROR((ROW(INDIRECT("'"&amp;$B14&amp;"'!$F$29:$F$45"))-ROW(INDIRECT("'"&amp;$B14&amp;"'!$F$29"))+1)/--(FIND("VERIFICACIÓN: ", INDIRECT("'"&amp;$B14&amp;"'!$F$29:$F$45"))),0)))&lt;&gt;0,INDEX(INDIRECT("'"&amp;$B14&amp;"'!$A$29:$G$45"),MAX((IFERROR((ROW(INDIRECT("'"&amp;$B14&amp;"'!$F$29:$F$45"))-ROW(INDIRECT("'"&amp;$B14&amp;"'!$F$29"))+1)/--(IF(INDIRECT("'"&amp;$B14&amp;"'!$F$29:$F$45")&lt;&gt;"",1,0)),0))-(IFERROR((ROW(INDIRECT("'"&amp;$B14&amp;"'!$F$29:$F$45"))-ROW(INDIRECT("'"&amp;$B14&amp;"'!$F$29"))+1)/--(FIND("VERIFICACIÓN: ", INDIRECT("'"&amp;$B14&amp;"'!$F$29:$F$45"))),0))),1),0),IF(MAX(IFERROR((_xlfn._xlws.FILTER((ROW(INDIRECT("'"&amp;$B14&amp;"'!$E$29:$E$45"))-ROW(INDIRECT("'"&amp;$B14&amp;"'!$E$29"))+1)/--(IF(INDIRECT("'"&amp;$B14&amp;"'!$E$29:$E$45")&lt;&gt;"",1,0)), NOT(ISNUMBER(MATCH((ROW(INDIRECT("'"&amp;$B14&amp;"'!$E$29:$E$45"))-ROW(INDIRECT("'"&amp;$B14&amp;"'!$E$29"))+1)/--(IF(INDIRECT("'"&amp;$B14&amp;"'!$E$29:$E$45")&lt;&gt;"",1,0)), (ROW(INDIRECT("'"&amp;$B14&amp;"'!$E$29:$E$45"))-ROW(INDIRECT("'"&amp;$B14&amp;"'!$E$29"))+1)/--(FIND("VERIFICACIÓN: ", INDIRECT("'"&amp;$B14&amp;"'!$E$29:$E$45"))), 0))))),0))&lt;&gt;0,INDEX(INDIRECT("'"&amp;$B14&amp;"'!$A$29:$G$45"),MAX((IFERROR((ROW(INDIRECT("'"&amp;$B14&amp;"'!$E$29:$E$45"))-ROW(INDIRECT("'"&amp;$B14&amp;"'!$E$29"))+1)/--(IF(INDIRECT("'"&amp;$B14&amp;"'!$E$29:$E$45")&lt;&gt;"",1,0)),0))-(IFERROR((ROW(INDIRECT("'"&amp;$B14&amp;"'!$E$29:$E$45"))-ROW(INDIRECT("'"&amp;$B14&amp;"'!$E$29"))+1)/--(FIND("VERIFICACIÓN: ", INDIRECT("'"&amp;$B14&amp;"'!$E$29:$E$45"))),0))),1),0))</f>
        <v>45922</v>
      </c>
      <c r="S14" s="6" t="s">
        <v>68</v>
      </c>
      <c r="T14" s="7" t="str" cm="1">
        <f t="array" aca="1" ref="T14" ca="1">IF(IF(MAX((IFERROR((ROW(INDIRECT("'"&amp;$B14&amp;"'!$F$29:$F$45"))-ROW(INDIRECT("'"&amp;$B14&amp;"'!$F$29"))+1)/--(IF(INDIRECT("'"&amp;$B14&amp;"'!$F$29:$F$45")&lt;&gt;"",1,0)),0))-(IFERROR((ROW(INDIRECT("'"&amp;$B14&amp;"'!$F$29:$F$45"))-ROW(INDIRECT("'"&amp;$B14&amp;"'!$F$29"))+1)/--(FIND("VERIFICACIÓN: ", INDIRECT("'"&amp;$B14&amp;"'!$F$29:$F$45"))),0)))&lt;&gt;0,INDEX(INDIRECT("'"&amp;$B14&amp;"'!$A$29:$G$45"),MAX((IFERROR((ROW(INDIRECT("'"&amp;$B14&amp;"'!$F$29:$F$45"))-ROW(INDIRECT("'"&amp;$B14&amp;"'!$F$29"))+1)/--(IF(INDIRECT("'"&amp;$B14&amp;"'!$F$29:$F$45")&lt;&gt;"",1,0)),0))-(IFERROR((ROW(INDIRECT("'"&amp;$B14&amp;"'!$F$29:$F$45"))-ROW(INDIRECT("'"&amp;$B14&amp;"'!$F$29"))+1)/--(FIND("VERIFICACIÓN: ", INDIRECT("'"&amp;$B14&amp;"'!$F$29:$F$45"))),0))),1),0)&gt;IF(MAX(IFERROR((_xlfn._xlws.FILTER((ROW(INDIRECT("'"&amp;$B14&amp;"'!$E$29:$E$45"))-ROW(INDIRECT("'"&amp;$B14&amp;"'!$E$29"))+1)/--(IF(INDIRECT("'"&amp;$B14&amp;"'!$E$29:$E$45")&lt;&gt;"",1,0)), NOT(ISNUMBER(MATCH((ROW(INDIRECT("'"&amp;$B14&amp;"'!$E$29:$E$45"))-ROW(INDIRECT("'"&amp;$B14&amp;"'!$E$29"))+1)/--(IF(INDIRECT("'"&amp;$B14&amp;"'!$E$29:$E$45")&lt;&gt;"",1,0)), (ROW(INDIRECT("'"&amp;$B14&amp;"'!$E$29:$E$45"))-ROW(INDIRECT("'"&amp;$B14&amp;"'!$E$29"))+1)/--(FIND("VERIFICACIÓN: ", INDIRECT("'"&amp;$B14&amp;"'!$E$29:$E$45"))), 0))))),0))&lt;&gt;0,INDEX(INDIRECT("'"&amp;$B14&amp;"'!$A$29:$G$45"),MAX((IFERROR((ROW(INDIRECT("'"&amp;$B14&amp;"'!$E$29:$E$45"))-ROW(INDIRECT("'"&amp;$B14&amp;"'!$E$29"))+1)/--(IF(INDIRECT("'"&amp;$B14&amp;"'!$E$29:$E$45")&lt;&gt;"",1,0)),0))-(IFERROR((ROW(INDIRECT("'"&amp;$B14&amp;"'!$E$29:$E$45"))-ROW(INDIRECT("'"&amp;$B14&amp;"'!$E$29"))+1)/--(FIND("VERIFICACIÓN: ", INDIRECT("'"&amp;$B14&amp;"'!$E$29:$E$45"))),0))),1),0),IF(MAX((IFERROR((ROW(INDIRECT("'"&amp;$B14&amp;"'!$F$29:$F$45"))-ROW(INDIRECT("'"&amp;$B14&amp;"'!$F$29"))+1)/--(IF(INDIRECT("'"&amp;$B14&amp;"'!$F$29:$F$45")&lt;&gt;"",1,0)),0))-(IFERROR((ROW(INDIRECT("'"&amp;$B14&amp;"'!$F$29:$F$45"))-ROW(INDIRECT("'"&amp;$B14&amp;"'!$F$29"))+1)/--(FIND("VERIFICACIÓN: ", INDIRECT("'"&amp;$B14&amp;"'!$F$29:$F$45"))),0)))&lt;&gt;0,INDEX(INDIRECT("'"&amp;$B14&amp;"'!$A$29:$G$45"),MAX((IFERROR((ROW(INDIRECT("'"&amp;$B14&amp;"'!$F$29:$F$45"))-ROW(INDIRECT("'"&amp;$B14&amp;"'!$F$29"))+1)/--(IF(INDIRECT("'"&amp;$B14&amp;"'!$F$29:$F$45")&lt;&gt;"",1,0)),0))-(IFERROR((ROW(INDIRECT("'"&amp;$B14&amp;"'!$F$29:$F$45"))-ROW(INDIRECT("'"&amp;$B14&amp;"'!$F$29"))+1)/--(FIND("VERIFICACIÓN: ", INDIRECT("'"&amp;$B14&amp;"'!$F$29:$F$45"))),0))),6),"NO DISPONIBLE"),IF(MAX(IFERROR((_xlfn._xlws.FILTER((ROW(INDIRECT("'"&amp;$B14&amp;"'!$E$29:$E$45"))-ROW(INDIRECT("'"&amp;$B14&amp;"'!$E$29"))+1)/--(IF(INDIRECT("'"&amp;$B14&amp;"'!$E$29:$E$45")&lt;&gt;"",1,0)), NOT(ISNUMBER(MATCH((ROW(INDIRECT("'"&amp;$B14&amp;"'!$E$29:$E$45"))-ROW(INDIRECT("'"&amp;$B14&amp;"'!$E$29"))+1)/--(IF(INDIRECT("'"&amp;$B14&amp;"'!$E$29:$E$45")&lt;&gt;"",1,0)), (ROW(INDIRECT("'"&amp;$B14&amp;"'!$E$29:$E$45"))-ROW(INDIRECT("'"&amp;$B14&amp;"'!$E$29"))+1)/--(FIND("VERIFICACIÓN: ", INDIRECT("'"&amp;$B14&amp;"'!$E$29:$E$45"))), 0))))),0))&lt;&gt;0,INDEX(INDIRECT("'"&amp;$B14&amp;"'!$A$29:$G$45"),MAX((IFERROR((ROW(INDIRECT("'"&amp;$B14&amp;"'!$E$29:$E$45"))-ROW(INDIRECT("'"&amp;$B14&amp;"'!$E$29"))+1)/--(IF(INDIRECT("'"&amp;$B14&amp;"'!$E$29:$E$45")&lt;&gt;"",1,0)),0))-(IFERROR((ROW(INDIRECT("'"&amp;$B14&amp;"'!$E$29:$E$45"))-ROW(INDIRECT("'"&amp;$B14&amp;"'!$E$29"))+1)/--(FIND("VERIFICACIÓN: ", INDIRECT("'"&amp;$B14&amp;"'!$E$29:$E$45"))),0))),5),"NO DISPONIBLE"))</f>
        <v>CALIBRACIÓN LT-6111-25 / INMET</v>
      </c>
      <c r="U14" s="3" t="s">
        <v>69</v>
      </c>
      <c r="V14" s="5" cm="1">
        <f t="array" aca="1" ref="V14" ca="1">IF((IFERROR(VLOOKUP(IFERROR(LOOKUP(2,1/((INDIRECT("'"&amp;$B14&amp;"'!$F$29:$F$45"))&lt;&gt;""),(INDIRECT("'"&amp;$B14&amp;"'!$F$29:$F$45"))),"NO DISPONIBLE"),CHOOSE({1,2},(INDIRECT("'"&amp;$B14&amp;"'!$F$29:$F$45")),(INDIRECT("'"&amp;$B14&amp;"'!$A$29:$A$45"))),2,0),0))&gt;(IFERROR(VLOOKUP(IFERROR(LOOKUP(2,1/((INDIRECT("'"&amp;$B14&amp;"'!$E$29:$E$45"))&lt;&gt;""),(INDIRECT("'"&amp;$B14&amp;"'!$E$29:$E$45"))),"NO DISPONIBLE"),CHOOSE({1,2},(INDIRECT("'"&amp;$B14&amp;"'!$E$29:$E$45")),(INDIRECT("'"&amp;$B14&amp;"'!$A$29:$A$45"))),2,0),0)),(IFERROR(VLOOKUP(IFERROR(LOOKUP(2,1/((INDIRECT("'"&amp;$B14&amp;"'!$F$29:$F$45"))&lt;&gt;""),(INDIRECT("'"&amp;$B14&amp;"'!$F$29:$F$45"))),"NO DISPONIBLE"),CHOOSE({1,2},(INDIRECT("'"&amp;$B14&amp;"'!$F$29:$F$45")),(INDIRECT("'"&amp;$B14&amp;"'!$A$29:$A$45"))),2,0),0)),(IFERROR(VLOOKUP(IFERROR(LOOKUP(2,1/((INDIRECT("'"&amp;$B14&amp;"'!$E$29:$E$45"))&lt;&gt;""),(INDIRECT("'"&amp;$B14&amp;"'!$E$29:$E$45"))),"NO DISPONIBLE"),CHOOSE({1,2},(INDIRECT("'"&amp;$B14&amp;"'!$E$29:$E$45")),(INDIRECT("'"&amp;$B14&amp;"'!$A$29:$A$45"))),2,0),0)))</f>
        <v>45922</v>
      </c>
      <c r="W14" s="6" t="s">
        <v>70</v>
      </c>
      <c r="X14" s="7" t="str" cm="1">
        <f t="array" aca="1" ref="X14" ca="1">IF((IFERROR(VLOOKUP(IFERROR(LOOKUP(2,1/((INDIRECT("'"&amp;$B14&amp;"'!$E$29:$E$45"))&lt;&gt;""),(INDIRECT("'"&amp;$B14&amp;"'!$E$29:$E$45"))),"NO DISPONIBLE"),CHOOSE({1,2},(INDIRECT("'"&amp;$B14&amp;"'!$E$29:$E$45")),(INDIRECT("'"&amp;$B14&amp;"'!$A$29:$A$45"))),2,0),0))&gt;(IFERROR(VLOOKUP(IFERROR(LOOKUP(2,1/((INDIRECT("'"&amp;$B14&amp;"'!$F$29:$F$45"))&lt;&gt;""),(INDIRECT("'"&amp;$B14&amp;"'!$F$29:$F$45"))),"NO DISPONIBLE"),CHOOSE({1,2},(INDIRECT("'"&amp;$B14&amp;"'!$F$29:$F$45")),(INDIRECT("'"&amp;$B14&amp;"'!$A$29:$A$45"))),2,0),0)),IFERROR(LOOKUP(2,1/((INDIRECT("'"&amp;$B14&amp;"'!$E$29:$E$45"))&lt;&gt;""),(INDIRECT("'"&amp;$B14&amp;"'!$E$29:$E$45"))),"NO DISPONIBLE"),IFERROR(LOOKUP(2,1/((INDIRECT("'"&amp;$B14&amp;"'!$F$29:$F$45"))&lt;&gt;""),(INDIRECT("'"&amp;$B14&amp;"'!$F$29:$F$45"))),"NO DISPONIBLE"))</f>
        <v>CALIBRACIÓN LT-6111-25 / INMET</v>
      </c>
      <c r="Y14" s="3" t="s">
        <v>69</v>
      </c>
      <c r="Z14" s="5" cm="1">
        <f t="array" aca="1" ref="Z14" ca="1">IF((IFERROR(VLOOKUP(IFERROR(LOOKUP(2,1/((INDIRECT("'"&amp;$B14&amp;"'!$D$29:$D$45"))&lt;&gt;""),(INDIRECT("'"&amp;$B14&amp;"'!$D$29:$D$45"))),"NO DISPONIBLE"),CHOOSE({1,2},(INDIRECT("'"&amp;$B14&amp;"'!$D$29:$D$45")),(INDIRECT("'"&amp;$B14&amp;"'!$A$29:$A$45"))),2,0),0))&gt;(IFERROR(VLOOKUP(IFERROR(LOOKUP(2,1/((INDIRECT("'"&amp;$B14&amp;"'!$C$29:$C$45"))&lt;&gt;""),(INDIRECT("'"&amp;$B14&amp;"'!$C$29:$C$45"))),"NO DISPONIBLE"),CHOOSE({1,2},(INDIRECT("'"&amp;$B14&amp;"'!$C$29:$C$45")),(INDIRECT("'"&amp;$B14&amp;"'!$A$29:$A$45"))),2,0),0)),(IFERROR(VLOOKUP(IFERROR(LOOKUP(2,1/((INDIRECT("'"&amp;$B14&amp;"'!$D$29:$D$45"))&lt;&gt;""),(INDIRECT("'"&amp;$B14&amp;"'!$D$29:$D$45"))),"NO DISPONIBLE"),CHOOSE({1,2},(INDIRECT("'"&amp;$B14&amp;"'!$D$29:$D$45")),(INDIRECT("'"&amp;$B14&amp;"'!$A$29:$A$45"))),2,0),0)),(IFERROR(VLOOKUP(IFERROR(LOOKUP(2,1/((INDIRECT("'"&amp;$B14&amp;"'!$C$29:$C$45"))&lt;&gt;""),(INDIRECT("'"&amp;$B14&amp;"'!$C$29:$C$45"))),"NO DISPONIBLE"),CHOOSE({1,2},(INDIRECT("'"&amp;$B14&amp;"'!$C$29:$C$45")),(INDIRECT("'"&amp;$B14&amp;"'!$A$29:$A$45"))),2,0),0)))</f>
        <v>0</v>
      </c>
      <c r="AA14" s="6" t="s">
        <v>70</v>
      </c>
      <c r="AB14" s="7" t="str" cm="1">
        <f t="array" aca="1" ref="AB14" ca="1">IF((IFERROR(VLOOKUP(IFERROR(LOOKUP(2,1/((INDIRECT("'"&amp;$B14&amp;"'!$C$29:$C$45"))&lt;&gt;""),(INDIRECT("'"&amp;$B14&amp;"'!$C$29:$C$45"))),"NO DISPONIBLE"),CHOOSE({1,2},(INDIRECT("'"&amp;$B14&amp;"'!$C$29:$C$45")),(INDIRECT("'"&amp;$B14&amp;"'!$A$29:$A$45"))),2,0),0))&gt;(IFERROR(VLOOKUP(IFERROR(LOOKUP(2,1/((INDIRECT("'"&amp;$B14&amp;"'!$D$29:$D$45"))&lt;&gt;""),(INDIRECT("'"&amp;$B14&amp;"'!$D$29:$D$45"))),"NO DISPONIBLE"),CHOOSE({1,2},(INDIRECT("'"&amp;$B14&amp;"'!$D$29:$D$45")),(INDIRECT("'"&amp;$B14&amp;"'!$A$29:$A$45"))),2,0),0)),IFERROR(LOOKUP(2,1/((INDIRECT("'"&amp;$B14&amp;"'!$C$29:$C$45"))&lt;&gt;""),(INDIRECT("'"&amp;$B14&amp;"'!$C$29:$C$45"))),"NO DISPONIBLE"),IFERROR(LOOKUP(2,1/((INDIRECT("'"&amp;$B14&amp;"'!$D$29:$D$45"))&lt;&gt;""),(INDIRECT("'"&amp;$B14&amp;"'!$D$29:$D$45"))),"NO DISPONIBLE"))</f>
        <v>NO DISPONIBLE</v>
      </c>
      <c r="AC14" s="6" t="s">
        <v>82</v>
      </c>
      <c r="AD14" s="8"/>
    </row>
    <row r="15" spans="1:32" x14ac:dyDescent="0.3">
      <c r="A15" s="2" t="s">
        <v>30</v>
      </c>
      <c r="B15" s="2" t="str" cm="1">
        <f t="array" aca="1" ref="B15" ca="1">INDIRECT("'"&amp;$B15&amp;"'!$A$6")</f>
        <v>PIE DE REY</v>
      </c>
      <c r="C15" s="3" t="str" cm="1">
        <f t="array" aca="1" ref="C15" ca="1">INDIRECT("'"&amp;$B15&amp;"'!$G$14")</f>
        <v>UBERMANN</v>
      </c>
      <c r="D15" s="3" t="str" cm="1">
        <f t="array" aca="1" ref="D15" ca="1">INDIRECT("'"&amp;$B15&amp;"'!$G$15")</f>
        <v>RM811</v>
      </c>
      <c r="E15" s="24" t="str" cm="1">
        <f t="array" aca="1" ref="E15" ca="1">INDIRECT("'"&amp;$B15&amp;"'!$G$16")</f>
        <v>NO PORTA</v>
      </c>
      <c r="F15" s="3" t="s">
        <v>65</v>
      </c>
      <c r="G15" s="3" t="s">
        <v>67</v>
      </c>
      <c r="H15" s="3" t="str" cm="1">
        <f t="array" aca="1" ref="H15" ca="1">INDIRECT("'"&amp;$B15&amp;"'!$G$11")</f>
        <v>LONGITUD</v>
      </c>
      <c r="I15" s="3" t="str" cm="1">
        <f t="array" aca="1" ref="I15" ca="1">INDIRECT("'"&amp;$B15&amp;"'!$C$11")</f>
        <v>MEDIA</v>
      </c>
      <c r="J15" s="3" t="str" cm="1">
        <f t="array" aca="1" ref="J15" ca="1">INDIRECT("'"&amp;$B15&amp;"'!$G$21")</f>
        <v>20 cm</v>
      </c>
      <c r="K15" s="3" t="str" cm="1">
        <f t="array" aca="1" ref="K15" ca="1">INDIRECT("'"&amp;$B15&amp;"'!$G$22")</f>
        <v>0,002 mm</v>
      </c>
      <c r="L15" s="3" t="str" cm="1">
        <f t="array" aca="1" ref="L15" ca="1">INDIRECT("'"&amp;$B15&amp;"'!$G$23")</f>
        <v>0,002 mm</v>
      </c>
      <c r="M15" s="4"/>
      <c r="N15" s="3" t="str" cm="1">
        <f t="array" aca="1" ref="N15" ca="1">INDIRECT("'"&amp;$B15&amp;"'!$G$22")</f>
        <v>0,002 mm</v>
      </c>
      <c r="O15" s="3"/>
      <c r="P15" s="7" t="str" cm="1">
        <f t="array" aca="1" ref="P15" ca="1">IFERROR(LOOKUP(2,1/((INDIRECT("'"&amp;$B15&amp;"'!$G$29:$G$45"))&lt;&gt;""),(INDIRECT("'"&amp;$B15&amp;"'!$G$29:$G$45"))),"NO DISPONIBLE")</f>
        <v>FUNCIONAL</v>
      </c>
      <c r="Q15" s="3" t="s">
        <v>69</v>
      </c>
      <c r="R15" s="5" cm="1">
        <f t="array" aca="1" ref="R15" ca="1">IF(IF(MAX((IFERROR((ROW(INDIRECT("'"&amp;$B15&amp;"'!$F$29:$F$45"))-ROW(INDIRECT("'"&amp;$B15&amp;"'!$F$29"))+1)/--(IF(INDIRECT("'"&amp;$B15&amp;"'!$F$29:$F$45")&lt;&gt;"",1,0)),0))-(IFERROR((ROW(INDIRECT("'"&amp;$B15&amp;"'!$F$29:$F$45"))-ROW(INDIRECT("'"&amp;$B15&amp;"'!$F$29"))+1)/--(FIND("VERIFICACIÓN: ", INDIRECT("'"&amp;$B15&amp;"'!$F$29:$F$45"))),0)))&lt;&gt;0,INDEX(INDIRECT("'"&amp;$B15&amp;"'!$A$29:$G$45"),MAX((IFERROR((ROW(INDIRECT("'"&amp;$B15&amp;"'!$F$29:$F$45"))-ROW(INDIRECT("'"&amp;$B15&amp;"'!$F$29"))+1)/--(IF(INDIRECT("'"&amp;$B15&amp;"'!$F$29:$F$45")&lt;&gt;"",1,0)),0))-(IFERROR((ROW(INDIRECT("'"&amp;$B15&amp;"'!$F$29:$F$45"))-ROW(INDIRECT("'"&amp;$B15&amp;"'!$F$29"))+1)/--(FIND("VERIFICACIÓN: ", INDIRECT("'"&amp;$B15&amp;"'!$F$29:$F$45"))),0))),1),0)&gt;IF(MAX(IFERROR((_xlfn._xlws.FILTER((ROW(INDIRECT("'"&amp;$B15&amp;"'!$E$29:$E$45"))-ROW(INDIRECT("'"&amp;$B15&amp;"'!$E$29"))+1)/--(IF(INDIRECT("'"&amp;$B15&amp;"'!$E$29:$E$45")&lt;&gt;"",1,0)), NOT(ISNUMBER(MATCH((ROW(INDIRECT("'"&amp;$B15&amp;"'!$E$29:$E$45"))-ROW(INDIRECT("'"&amp;$B15&amp;"'!$E$29"))+1)/--(IF(INDIRECT("'"&amp;$B15&amp;"'!$E$29:$E$45")&lt;&gt;"",1,0)), (ROW(INDIRECT("'"&amp;$B15&amp;"'!$E$29:$E$45"))-ROW(INDIRECT("'"&amp;$B15&amp;"'!$E$29"))+1)/--(FIND("VERIFICACIÓN: ", INDIRECT("'"&amp;$B15&amp;"'!$E$29:$E$45"))), 0))))),0))&lt;&gt;0,INDEX(INDIRECT("'"&amp;$B15&amp;"'!$A$29:$G$45"),MAX((IFERROR((ROW(INDIRECT("'"&amp;$B15&amp;"'!$E$29:$E$45"))-ROW(INDIRECT("'"&amp;$B15&amp;"'!$E$29"))+1)/--(IF(INDIRECT("'"&amp;$B15&amp;"'!$E$29:$E$45")&lt;&gt;"",1,0)),0))-(IFERROR((ROW(INDIRECT("'"&amp;$B15&amp;"'!$E$29:$E$45"))-ROW(INDIRECT("'"&amp;$B15&amp;"'!$E$29"))+1)/--(FIND("VERIFICACIÓN: ", INDIRECT("'"&amp;$B15&amp;"'!$E$29:$E$45"))),0))),1),0),IF(MAX((IFERROR((ROW(INDIRECT("'"&amp;$B15&amp;"'!$F$29:$F$45"))-ROW(INDIRECT("'"&amp;$B15&amp;"'!$F$29"))+1)/--(IF(INDIRECT("'"&amp;$B15&amp;"'!$F$29:$F$45")&lt;&gt;"",1,0)),0))-(IFERROR((ROW(INDIRECT("'"&amp;$B15&amp;"'!$F$29:$F$45"))-ROW(INDIRECT("'"&amp;$B15&amp;"'!$F$29"))+1)/--(FIND("VERIFICACIÓN: ", INDIRECT("'"&amp;$B15&amp;"'!$F$29:$F$45"))),0)))&lt;&gt;0,INDEX(INDIRECT("'"&amp;$B15&amp;"'!$A$29:$G$45"),MAX((IFERROR((ROW(INDIRECT("'"&amp;$B15&amp;"'!$F$29:$F$45"))-ROW(INDIRECT("'"&amp;$B15&amp;"'!$F$29"))+1)/--(IF(INDIRECT("'"&amp;$B15&amp;"'!$F$29:$F$45")&lt;&gt;"",1,0)),0))-(IFERROR((ROW(INDIRECT("'"&amp;$B15&amp;"'!$F$29:$F$45"))-ROW(INDIRECT("'"&amp;$B15&amp;"'!$F$29"))+1)/--(FIND("VERIFICACIÓN: ", INDIRECT("'"&amp;$B15&amp;"'!$F$29:$F$45"))),0))),1),0),IF(MAX(IFERROR((_xlfn._xlws.FILTER((ROW(INDIRECT("'"&amp;$B15&amp;"'!$E$29:$E$45"))-ROW(INDIRECT("'"&amp;$B15&amp;"'!$E$29"))+1)/--(IF(INDIRECT("'"&amp;$B15&amp;"'!$E$29:$E$45")&lt;&gt;"",1,0)), NOT(ISNUMBER(MATCH((ROW(INDIRECT("'"&amp;$B15&amp;"'!$E$29:$E$45"))-ROW(INDIRECT("'"&amp;$B15&amp;"'!$E$29"))+1)/--(IF(INDIRECT("'"&amp;$B15&amp;"'!$E$29:$E$45")&lt;&gt;"",1,0)), (ROW(INDIRECT("'"&amp;$B15&amp;"'!$E$29:$E$45"))-ROW(INDIRECT("'"&amp;$B15&amp;"'!$E$29"))+1)/--(FIND("VERIFICACIÓN: ", INDIRECT("'"&amp;$B15&amp;"'!$E$29:$E$45"))), 0))))),0))&lt;&gt;0,INDEX(INDIRECT("'"&amp;$B15&amp;"'!$A$29:$G$45"),MAX((IFERROR((ROW(INDIRECT("'"&amp;$B15&amp;"'!$E$29:$E$45"))-ROW(INDIRECT("'"&amp;$B15&amp;"'!$E$29"))+1)/--(IF(INDIRECT("'"&amp;$B15&amp;"'!$E$29:$E$45")&lt;&gt;"",1,0)),0))-(IFERROR((ROW(INDIRECT("'"&amp;$B15&amp;"'!$E$29:$E$45"))-ROW(INDIRECT("'"&amp;$B15&amp;"'!$E$29"))+1)/--(FIND("VERIFICACIÓN: ", INDIRECT("'"&amp;$B15&amp;"'!$E$29:$E$45"))),0))),1),0))</f>
        <v>0</v>
      </c>
      <c r="S15" s="6" t="s">
        <v>70</v>
      </c>
      <c r="T15" s="7" t="str" cm="1">
        <f t="array" aca="1" ref="T15" ca="1">IF(IF(MAX((IFERROR((ROW(INDIRECT("'"&amp;$B15&amp;"'!$F$29:$F$45"))-ROW(INDIRECT("'"&amp;$B15&amp;"'!$F$29"))+1)/--(IF(INDIRECT("'"&amp;$B15&amp;"'!$F$29:$F$45")&lt;&gt;"",1,0)),0))-(IFERROR((ROW(INDIRECT("'"&amp;$B15&amp;"'!$F$29:$F$45"))-ROW(INDIRECT("'"&amp;$B15&amp;"'!$F$29"))+1)/--(FIND("VERIFICACIÓN: ", INDIRECT("'"&amp;$B15&amp;"'!$F$29:$F$45"))),0)))&lt;&gt;0,INDEX(INDIRECT("'"&amp;$B15&amp;"'!$A$29:$G$45"),MAX((IFERROR((ROW(INDIRECT("'"&amp;$B15&amp;"'!$F$29:$F$45"))-ROW(INDIRECT("'"&amp;$B15&amp;"'!$F$29"))+1)/--(IF(INDIRECT("'"&amp;$B15&amp;"'!$F$29:$F$45")&lt;&gt;"",1,0)),0))-(IFERROR((ROW(INDIRECT("'"&amp;$B15&amp;"'!$F$29:$F$45"))-ROW(INDIRECT("'"&amp;$B15&amp;"'!$F$29"))+1)/--(FIND("VERIFICACIÓN: ", INDIRECT("'"&amp;$B15&amp;"'!$F$29:$F$45"))),0))),1),0)&gt;IF(MAX(IFERROR((_xlfn._xlws.FILTER((ROW(INDIRECT("'"&amp;$B15&amp;"'!$E$29:$E$45"))-ROW(INDIRECT("'"&amp;$B15&amp;"'!$E$29"))+1)/--(IF(INDIRECT("'"&amp;$B15&amp;"'!$E$29:$E$45")&lt;&gt;"",1,0)), NOT(ISNUMBER(MATCH((ROW(INDIRECT("'"&amp;$B15&amp;"'!$E$29:$E$45"))-ROW(INDIRECT("'"&amp;$B15&amp;"'!$E$29"))+1)/--(IF(INDIRECT("'"&amp;$B15&amp;"'!$E$29:$E$45")&lt;&gt;"",1,0)), (ROW(INDIRECT("'"&amp;$B15&amp;"'!$E$29:$E$45"))-ROW(INDIRECT("'"&amp;$B15&amp;"'!$E$29"))+1)/--(FIND("VERIFICACIÓN: ", INDIRECT("'"&amp;$B15&amp;"'!$E$29:$E$45"))), 0))))),0))&lt;&gt;0,INDEX(INDIRECT("'"&amp;$B15&amp;"'!$A$29:$G$45"),MAX((IFERROR((ROW(INDIRECT("'"&amp;$B15&amp;"'!$E$29:$E$45"))-ROW(INDIRECT("'"&amp;$B15&amp;"'!$E$29"))+1)/--(IF(INDIRECT("'"&amp;$B15&amp;"'!$E$29:$E$45")&lt;&gt;"",1,0)),0))-(IFERROR((ROW(INDIRECT("'"&amp;$B15&amp;"'!$E$29:$E$45"))-ROW(INDIRECT("'"&amp;$B15&amp;"'!$E$29"))+1)/--(FIND("VERIFICACIÓN: ", INDIRECT("'"&amp;$B15&amp;"'!$E$29:$E$45"))),0))),1),0),IF(MAX((IFERROR((ROW(INDIRECT("'"&amp;$B15&amp;"'!$F$29:$F$45"))-ROW(INDIRECT("'"&amp;$B15&amp;"'!$F$29"))+1)/--(IF(INDIRECT("'"&amp;$B15&amp;"'!$F$29:$F$45")&lt;&gt;"",1,0)),0))-(IFERROR((ROW(INDIRECT("'"&amp;$B15&amp;"'!$F$29:$F$45"))-ROW(INDIRECT("'"&amp;$B15&amp;"'!$F$29"))+1)/--(FIND("VERIFICACIÓN: ", INDIRECT("'"&amp;$B15&amp;"'!$F$29:$F$45"))),0)))&lt;&gt;0,INDEX(INDIRECT("'"&amp;$B15&amp;"'!$A$29:$G$45"),MAX((IFERROR((ROW(INDIRECT("'"&amp;$B15&amp;"'!$F$29:$F$45"))-ROW(INDIRECT("'"&amp;$B15&amp;"'!$F$29"))+1)/--(IF(INDIRECT("'"&amp;$B15&amp;"'!$F$29:$F$45")&lt;&gt;"",1,0)),0))-(IFERROR((ROW(INDIRECT("'"&amp;$B15&amp;"'!$F$29:$F$45"))-ROW(INDIRECT("'"&amp;$B15&amp;"'!$F$29"))+1)/--(FIND("VERIFICACIÓN: ", INDIRECT("'"&amp;$B15&amp;"'!$F$29:$F$45"))),0))),6),"NO DISPONIBLE"),IF(MAX(IFERROR((_xlfn._xlws.FILTER((ROW(INDIRECT("'"&amp;$B15&amp;"'!$E$29:$E$45"))-ROW(INDIRECT("'"&amp;$B15&amp;"'!$E$29"))+1)/--(IF(INDIRECT("'"&amp;$B15&amp;"'!$E$29:$E$45")&lt;&gt;"",1,0)), NOT(ISNUMBER(MATCH((ROW(INDIRECT("'"&amp;$B15&amp;"'!$E$29:$E$45"))-ROW(INDIRECT("'"&amp;$B15&amp;"'!$E$29"))+1)/--(IF(INDIRECT("'"&amp;$B15&amp;"'!$E$29:$E$45")&lt;&gt;"",1,0)), (ROW(INDIRECT("'"&amp;$B15&amp;"'!$E$29:$E$45"))-ROW(INDIRECT("'"&amp;$B15&amp;"'!$E$29"))+1)/--(FIND("VERIFICACIÓN: ", INDIRECT("'"&amp;$B15&amp;"'!$E$29:$E$45"))), 0))))),0))&lt;&gt;0,INDEX(INDIRECT("'"&amp;$B15&amp;"'!$A$29:$G$45"),MAX((IFERROR((ROW(INDIRECT("'"&amp;$B15&amp;"'!$E$29:$E$45"))-ROW(INDIRECT("'"&amp;$B15&amp;"'!$E$29"))+1)/--(IF(INDIRECT("'"&amp;$B15&amp;"'!$E$29:$E$45")&lt;&gt;"",1,0)),0))-(IFERROR((ROW(INDIRECT("'"&amp;$B15&amp;"'!$E$29:$E$45"))-ROW(INDIRECT("'"&amp;$B15&amp;"'!$E$29"))+1)/--(FIND("VERIFICACIÓN: ", INDIRECT("'"&amp;$B15&amp;"'!$E$29:$E$45"))),0))),5),"NO DISPONIBLE"))</f>
        <v>NO DISPONIBLE</v>
      </c>
      <c r="U15" s="3" t="s">
        <v>69</v>
      </c>
      <c r="V15" s="5" cm="1">
        <f t="array" aca="1" ref="V15" ca="1">IF((IFERROR(VLOOKUP(IFERROR(LOOKUP(2,1/((INDIRECT("'"&amp;$B15&amp;"'!$F$29:$F$45"))&lt;&gt;""),(INDIRECT("'"&amp;$B15&amp;"'!$F$29:$F$45"))),"NO DISPONIBLE"),CHOOSE({1,2},(INDIRECT("'"&amp;$B15&amp;"'!$F$29:$F$45")),(INDIRECT("'"&amp;$B15&amp;"'!$A$29:$A$45"))),2,0),0))&gt;(IFERROR(VLOOKUP(IFERROR(LOOKUP(2,1/((INDIRECT("'"&amp;$B15&amp;"'!$E$29:$E$45"))&lt;&gt;""),(INDIRECT("'"&amp;$B15&amp;"'!$E$29:$E$45"))),"NO DISPONIBLE"),CHOOSE({1,2},(INDIRECT("'"&amp;$B15&amp;"'!$E$29:$E$45")),(INDIRECT("'"&amp;$B15&amp;"'!$A$29:$A$45"))),2,0),0)),(IFERROR(VLOOKUP(IFERROR(LOOKUP(2,1/((INDIRECT("'"&amp;$B15&amp;"'!$F$29:$F$45"))&lt;&gt;""),(INDIRECT("'"&amp;$B15&amp;"'!$F$29:$F$45"))),"NO DISPONIBLE"),CHOOSE({1,2},(INDIRECT("'"&amp;$B15&amp;"'!$F$29:$F$45")),(INDIRECT("'"&amp;$B15&amp;"'!$A$29:$A$45"))),2,0),0)),(IFERROR(VLOOKUP(IFERROR(LOOKUP(2,1/((INDIRECT("'"&amp;$B15&amp;"'!$E$29:$E$45"))&lt;&gt;""),(INDIRECT("'"&amp;$B15&amp;"'!$E$29:$E$45"))),"NO DISPONIBLE"),CHOOSE({1,2},(INDIRECT("'"&amp;$B15&amp;"'!$E$29:$E$45")),(INDIRECT("'"&amp;$B15&amp;"'!$A$29:$A$45"))),2,0),0)))</f>
        <v>0</v>
      </c>
      <c r="W15" s="6" t="s">
        <v>70</v>
      </c>
      <c r="X15" s="7" t="str" cm="1">
        <f t="array" aca="1" ref="X15" ca="1">IF((IFERROR(VLOOKUP(IFERROR(LOOKUP(2,1/((INDIRECT("'"&amp;$B15&amp;"'!$E$29:$E$45"))&lt;&gt;""),(INDIRECT("'"&amp;$B15&amp;"'!$E$29:$E$45"))),"NO DISPONIBLE"),CHOOSE({1,2},(INDIRECT("'"&amp;$B15&amp;"'!$E$29:$E$45")),(INDIRECT("'"&amp;$B15&amp;"'!$A$29:$A$45"))),2,0),0))&gt;(IFERROR(VLOOKUP(IFERROR(LOOKUP(2,1/((INDIRECT("'"&amp;$B15&amp;"'!$F$29:$F$45"))&lt;&gt;""),(INDIRECT("'"&amp;$B15&amp;"'!$F$29:$F$45"))),"NO DISPONIBLE"),CHOOSE({1,2},(INDIRECT("'"&amp;$B15&amp;"'!$F$29:$F$45")),(INDIRECT("'"&amp;$B15&amp;"'!$A$29:$A$45"))),2,0),0)),IFERROR(LOOKUP(2,1/((INDIRECT("'"&amp;$B15&amp;"'!$E$29:$E$45"))&lt;&gt;""),(INDIRECT("'"&amp;$B15&amp;"'!$E$29:$E$45"))),"NO DISPONIBLE"),IFERROR(LOOKUP(2,1/((INDIRECT("'"&amp;$B15&amp;"'!$F$29:$F$45"))&lt;&gt;""),(INDIRECT("'"&amp;$B15&amp;"'!$F$29:$F$45"))),"NO DISPONIBLE"))</f>
        <v>NO DISPONIBLE</v>
      </c>
      <c r="Y15" s="3" t="s">
        <v>69</v>
      </c>
      <c r="Z15" s="5" cm="1">
        <f t="array" aca="1" ref="Z15" ca="1">IF((IFERROR(VLOOKUP(IFERROR(LOOKUP(2,1/((INDIRECT("'"&amp;$B15&amp;"'!$D$29:$D$45"))&lt;&gt;""),(INDIRECT("'"&amp;$B15&amp;"'!$D$29:$D$45"))),"NO DISPONIBLE"),CHOOSE({1,2},(INDIRECT("'"&amp;$B15&amp;"'!$D$29:$D$45")),(INDIRECT("'"&amp;$B15&amp;"'!$A$29:$A$45"))),2,0),0))&gt;(IFERROR(VLOOKUP(IFERROR(LOOKUP(2,1/((INDIRECT("'"&amp;$B15&amp;"'!$C$29:$C$45"))&lt;&gt;""),(INDIRECT("'"&amp;$B15&amp;"'!$C$29:$C$45"))),"NO DISPONIBLE"),CHOOSE({1,2},(INDIRECT("'"&amp;$B15&amp;"'!$C$29:$C$45")),(INDIRECT("'"&amp;$B15&amp;"'!$A$29:$A$45"))),2,0),0)),(IFERROR(VLOOKUP(IFERROR(LOOKUP(2,1/((INDIRECT("'"&amp;$B15&amp;"'!$D$29:$D$45"))&lt;&gt;""),(INDIRECT("'"&amp;$B15&amp;"'!$D$29:$D$45"))),"NO DISPONIBLE"),CHOOSE({1,2},(INDIRECT("'"&amp;$B15&amp;"'!$D$29:$D$45")),(INDIRECT("'"&amp;$B15&amp;"'!$A$29:$A$45"))),2,0),0)),(IFERROR(VLOOKUP(IFERROR(LOOKUP(2,1/((INDIRECT("'"&amp;$B15&amp;"'!$C$29:$C$45"))&lt;&gt;""),(INDIRECT("'"&amp;$B15&amp;"'!$C$29:$C$45"))),"NO DISPONIBLE"),CHOOSE({1,2},(INDIRECT("'"&amp;$B15&amp;"'!$C$29:$C$45")),(INDIRECT("'"&amp;$B15&amp;"'!$A$29:$A$45"))),2,0),0)))</f>
        <v>0</v>
      </c>
      <c r="AA15" s="6" t="s">
        <v>70</v>
      </c>
      <c r="AB15" s="7" t="str" cm="1">
        <f t="array" aca="1" ref="AB15" ca="1">IF((IFERROR(VLOOKUP(IFERROR(LOOKUP(2,1/((INDIRECT("'"&amp;$B15&amp;"'!$C$29:$C$45"))&lt;&gt;""),(INDIRECT("'"&amp;$B15&amp;"'!$C$29:$C$45"))),"NO DISPONIBLE"),CHOOSE({1,2},(INDIRECT("'"&amp;$B15&amp;"'!$C$29:$C$45")),(INDIRECT("'"&amp;$B15&amp;"'!$A$29:$A$45"))),2,0),0))&gt;(IFERROR(VLOOKUP(IFERROR(LOOKUP(2,1/((INDIRECT("'"&amp;$B15&amp;"'!$D$29:$D$45"))&lt;&gt;""),(INDIRECT("'"&amp;$B15&amp;"'!$D$29:$D$45"))),"NO DISPONIBLE"),CHOOSE({1,2},(INDIRECT("'"&amp;$B15&amp;"'!$D$29:$D$45")),(INDIRECT("'"&amp;$B15&amp;"'!$A$29:$A$45"))),2,0),0)),IFERROR(LOOKUP(2,1/((INDIRECT("'"&amp;$B15&amp;"'!$C$29:$C$45"))&lt;&gt;""),(INDIRECT("'"&amp;$B15&amp;"'!$C$29:$C$45"))),"NO DISPONIBLE"),IFERROR(LOOKUP(2,1/((INDIRECT("'"&amp;$B15&amp;"'!$D$29:$D$45"))&lt;&gt;""),(INDIRECT("'"&amp;$B15&amp;"'!$D$29:$D$45"))),"NO DISPONIBLE"))</f>
        <v>NO DISPONIBLE</v>
      </c>
      <c r="AC15" s="6" t="s">
        <v>82</v>
      </c>
      <c r="AD15" s="8"/>
    </row>
    <row r="16" spans="1:32" x14ac:dyDescent="0.3">
      <c r="A16" s="2" t="s">
        <v>31</v>
      </c>
      <c r="B16" s="2" t="str" cm="1">
        <f t="array" aca="1" ref="B16" ca="1">INDIRECT("'"&amp;$B16&amp;"'!$A$6")</f>
        <v>MICRÓMETRO</v>
      </c>
      <c r="C16" s="3" t="str" cm="1">
        <f t="array" aca="1" ref="C16" ca="1">INDIRECT("'"&amp;$B16&amp;"'!$G$14")</f>
        <v>UBERMANN</v>
      </c>
      <c r="D16" s="3" t="str" cm="1">
        <f t="array" aca="1" ref="D16" ca="1">INDIRECT("'"&amp;$B16&amp;"'!$G$15")</f>
        <v>NO PORTA</v>
      </c>
      <c r="E16" s="24" t="str" cm="1">
        <f t="array" aca="1" ref="E16" ca="1">INDIRECT("'"&amp;$B16&amp;"'!$G$16")</f>
        <v>NO PORTA</v>
      </c>
      <c r="F16" s="3" t="s">
        <v>65</v>
      </c>
      <c r="G16" s="3" t="s">
        <v>67</v>
      </c>
      <c r="H16" s="3" t="str" cm="1">
        <f t="array" aca="1" ref="H16" ca="1">INDIRECT("'"&amp;$B16&amp;"'!$G$11")</f>
        <v>LONGITUD</v>
      </c>
      <c r="I16" s="3" t="str" cm="1">
        <f t="array" aca="1" ref="I16" ca="1">INDIRECT("'"&amp;$B16&amp;"'!$C$11")</f>
        <v>MEDIA</v>
      </c>
      <c r="J16" s="3" t="str" cm="1">
        <f t="array" aca="1" ref="J16" ca="1">INDIRECT("'"&amp;$B16&amp;"'!$G$21")</f>
        <v>25 mm</v>
      </c>
      <c r="K16" s="3" t="str" cm="1">
        <f t="array" aca="1" ref="K16" ca="1">INDIRECT("'"&amp;$B16&amp;"'!$G$22")</f>
        <v>0,01 mm</v>
      </c>
      <c r="L16" s="3" t="str" cm="1">
        <f t="array" aca="1" ref="L16" ca="1">INDIRECT("'"&amp;$B16&amp;"'!$G$23")</f>
        <v>0,01 mm</v>
      </c>
      <c r="M16" s="4"/>
      <c r="N16" s="3" t="str" cm="1">
        <f t="array" aca="1" ref="N16" ca="1">INDIRECT("'"&amp;$B16&amp;"'!$G$22")</f>
        <v>0,01 mm</v>
      </c>
      <c r="O16" s="3"/>
      <c r="P16" s="7" t="str" cm="1">
        <f t="array" aca="1" ref="P16" ca="1">IFERROR(LOOKUP(2,1/((INDIRECT("'"&amp;$B16&amp;"'!$G$29:$G$45"))&lt;&gt;""),(INDIRECT("'"&amp;$B16&amp;"'!$G$29:$G$45"))),"NO DISPONIBLE")</f>
        <v>FUNCIONAL</v>
      </c>
      <c r="Q16" s="3" t="s">
        <v>69</v>
      </c>
      <c r="R16" s="5" cm="1">
        <f t="array" aca="1" ref="R16" ca="1">IF(IF(MAX((IFERROR((ROW(INDIRECT("'"&amp;$B16&amp;"'!$F$29:$F$45"))-ROW(INDIRECT("'"&amp;$B16&amp;"'!$F$29"))+1)/--(IF(INDIRECT("'"&amp;$B16&amp;"'!$F$29:$F$45")&lt;&gt;"",1,0)),0))-(IFERROR((ROW(INDIRECT("'"&amp;$B16&amp;"'!$F$29:$F$45"))-ROW(INDIRECT("'"&amp;$B16&amp;"'!$F$29"))+1)/--(FIND("VERIFICACIÓN: ", INDIRECT("'"&amp;$B16&amp;"'!$F$29:$F$45"))),0)))&lt;&gt;0,INDEX(INDIRECT("'"&amp;$B16&amp;"'!$A$29:$G$45"),MAX((IFERROR((ROW(INDIRECT("'"&amp;$B16&amp;"'!$F$29:$F$45"))-ROW(INDIRECT("'"&amp;$B16&amp;"'!$F$29"))+1)/--(IF(INDIRECT("'"&amp;$B16&amp;"'!$F$29:$F$45")&lt;&gt;"",1,0)),0))-(IFERROR((ROW(INDIRECT("'"&amp;$B16&amp;"'!$F$29:$F$45"))-ROW(INDIRECT("'"&amp;$B16&amp;"'!$F$29"))+1)/--(FIND("VERIFICACIÓN: ", INDIRECT("'"&amp;$B16&amp;"'!$F$29:$F$45"))),0))),1),0)&gt;IF(MAX(IFERROR((_xlfn._xlws.FILTER((ROW(INDIRECT("'"&amp;$B16&amp;"'!$E$29:$E$45"))-ROW(INDIRECT("'"&amp;$B16&amp;"'!$E$29"))+1)/--(IF(INDIRECT("'"&amp;$B16&amp;"'!$E$29:$E$45")&lt;&gt;"",1,0)), NOT(ISNUMBER(MATCH((ROW(INDIRECT("'"&amp;$B16&amp;"'!$E$29:$E$45"))-ROW(INDIRECT("'"&amp;$B16&amp;"'!$E$29"))+1)/--(IF(INDIRECT("'"&amp;$B16&amp;"'!$E$29:$E$45")&lt;&gt;"",1,0)), (ROW(INDIRECT("'"&amp;$B16&amp;"'!$E$29:$E$45"))-ROW(INDIRECT("'"&amp;$B16&amp;"'!$E$29"))+1)/--(FIND("VERIFICACIÓN: ", INDIRECT("'"&amp;$B16&amp;"'!$E$29:$E$45"))), 0))))),0))&lt;&gt;0,INDEX(INDIRECT("'"&amp;$B16&amp;"'!$A$29:$G$45"),MAX((IFERROR((ROW(INDIRECT("'"&amp;$B16&amp;"'!$E$29:$E$45"))-ROW(INDIRECT("'"&amp;$B16&amp;"'!$E$29"))+1)/--(IF(INDIRECT("'"&amp;$B16&amp;"'!$E$29:$E$45")&lt;&gt;"",1,0)),0))-(IFERROR((ROW(INDIRECT("'"&amp;$B16&amp;"'!$E$29:$E$45"))-ROW(INDIRECT("'"&amp;$B16&amp;"'!$E$29"))+1)/--(FIND("VERIFICACIÓN: ", INDIRECT("'"&amp;$B16&amp;"'!$E$29:$E$45"))),0))),1),0),IF(MAX((IFERROR((ROW(INDIRECT("'"&amp;$B16&amp;"'!$F$29:$F$45"))-ROW(INDIRECT("'"&amp;$B16&amp;"'!$F$29"))+1)/--(IF(INDIRECT("'"&amp;$B16&amp;"'!$F$29:$F$45")&lt;&gt;"",1,0)),0))-(IFERROR((ROW(INDIRECT("'"&amp;$B16&amp;"'!$F$29:$F$45"))-ROW(INDIRECT("'"&amp;$B16&amp;"'!$F$29"))+1)/--(FIND("VERIFICACIÓN: ", INDIRECT("'"&amp;$B16&amp;"'!$F$29:$F$45"))),0)))&lt;&gt;0,INDEX(INDIRECT("'"&amp;$B16&amp;"'!$A$29:$G$45"),MAX((IFERROR((ROW(INDIRECT("'"&amp;$B16&amp;"'!$F$29:$F$45"))-ROW(INDIRECT("'"&amp;$B16&amp;"'!$F$29"))+1)/--(IF(INDIRECT("'"&amp;$B16&amp;"'!$F$29:$F$45")&lt;&gt;"",1,0)),0))-(IFERROR((ROW(INDIRECT("'"&amp;$B16&amp;"'!$F$29:$F$45"))-ROW(INDIRECT("'"&amp;$B16&amp;"'!$F$29"))+1)/--(FIND("VERIFICACIÓN: ", INDIRECT("'"&amp;$B16&amp;"'!$F$29:$F$45"))),0))),1),0),IF(MAX(IFERROR((_xlfn._xlws.FILTER((ROW(INDIRECT("'"&amp;$B16&amp;"'!$E$29:$E$45"))-ROW(INDIRECT("'"&amp;$B16&amp;"'!$E$29"))+1)/--(IF(INDIRECT("'"&amp;$B16&amp;"'!$E$29:$E$45")&lt;&gt;"",1,0)), NOT(ISNUMBER(MATCH((ROW(INDIRECT("'"&amp;$B16&amp;"'!$E$29:$E$45"))-ROW(INDIRECT("'"&amp;$B16&amp;"'!$E$29"))+1)/--(IF(INDIRECT("'"&amp;$B16&amp;"'!$E$29:$E$45")&lt;&gt;"",1,0)), (ROW(INDIRECT("'"&amp;$B16&amp;"'!$E$29:$E$45"))-ROW(INDIRECT("'"&amp;$B16&amp;"'!$E$29"))+1)/--(FIND("VERIFICACIÓN: ", INDIRECT("'"&amp;$B16&amp;"'!$E$29:$E$45"))), 0))))),0))&lt;&gt;0,INDEX(INDIRECT("'"&amp;$B16&amp;"'!$A$29:$G$45"),MAX((IFERROR((ROW(INDIRECT("'"&amp;$B16&amp;"'!$E$29:$E$45"))-ROW(INDIRECT("'"&amp;$B16&amp;"'!$E$29"))+1)/--(IF(INDIRECT("'"&amp;$B16&amp;"'!$E$29:$E$45")&lt;&gt;"",1,0)),0))-(IFERROR((ROW(INDIRECT("'"&amp;$B16&amp;"'!$E$29:$E$45"))-ROW(INDIRECT("'"&amp;$B16&amp;"'!$E$29"))+1)/--(FIND("VERIFICACIÓN: ", INDIRECT("'"&amp;$B16&amp;"'!$E$29:$E$45"))),0))),1),0))</f>
        <v>0</v>
      </c>
      <c r="S16" s="6" t="s">
        <v>70</v>
      </c>
      <c r="T16" s="7" t="str" cm="1">
        <f t="array" aca="1" ref="T16" ca="1">IF(IF(MAX((IFERROR((ROW(INDIRECT("'"&amp;$B16&amp;"'!$F$29:$F$45"))-ROW(INDIRECT("'"&amp;$B16&amp;"'!$F$29"))+1)/--(IF(INDIRECT("'"&amp;$B16&amp;"'!$F$29:$F$45")&lt;&gt;"",1,0)),0))-(IFERROR((ROW(INDIRECT("'"&amp;$B16&amp;"'!$F$29:$F$45"))-ROW(INDIRECT("'"&amp;$B16&amp;"'!$F$29"))+1)/--(FIND("VERIFICACIÓN: ", INDIRECT("'"&amp;$B16&amp;"'!$F$29:$F$45"))),0)))&lt;&gt;0,INDEX(INDIRECT("'"&amp;$B16&amp;"'!$A$29:$G$45"),MAX((IFERROR((ROW(INDIRECT("'"&amp;$B16&amp;"'!$F$29:$F$45"))-ROW(INDIRECT("'"&amp;$B16&amp;"'!$F$29"))+1)/--(IF(INDIRECT("'"&amp;$B16&amp;"'!$F$29:$F$45")&lt;&gt;"",1,0)),0))-(IFERROR((ROW(INDIRECT("'"&amp;$B16&amp;"'!$F$29:$F$45"))-ROW(INDIRECT("'"&amp;$B16&amp;"'!$F$29"))+1)/--(FIND("VERIFICACIÓN: ", INDIRECT("'"&amp;$B16&amp;"'!$F$29:$F$45"))),0))),1),0)&gt;IF(MAX(IFERROR((_xlfn._xlws.FILTER((ROW(INDIRECT("'"&amp;$B16&amp;"'!$E$29:$E$45"))-ROW(INDIRECT("'"&amp;$B16&amp;"'!$E$29"))+1)/--(IF(INDIRECT("'"&amp;$B16&amp;"'!$E$29:$E$45")&lt;&gt;"",1,0)), NOT(ISNUMBER(MATCH((ROW(INDIRECT("'"&amp;$B16&amp;"'!$E$29:$E$45"))-ROW(INDIRECT("'"&amp;$B16&amp;"'!$E$29"))+1)/--(IF(INDIRECT("'"&amp;$B16&amp;"'!$E$29:$E$45")&lt;&gt;"",1,0)), (ROW(INDIRECT("'"&amp;$B16&amp;"'!$E$29:$E$45"))-ROW(INDIRECT("'"&amp;$B16&amp;"'!$E$29"))+1)/--(FIND("VERIFICACIÓN: ", INDIRECT("'"&amp;$B16&amp;"'!$E$29:$E$45"))), 0))))),0))&lt;&gt;0,INDEX(INDIRECT("'"&amp;$B16&amp;"'!$A$29:$G$45"),MAX((IFERROR((ROW(INDIRECT("'"&amp;$B16&amp;"'!$E$29:$E$45"))-ROW(INDIRECT("'"&amp;$B16&amp;"'!$E$29"))+1)/--(IF(INDIRECT("'"&amp;$B16&amp;"'!$E$29:$E$45")&lt;&gt;"",1,0)),0))-(IFERROR((ROW(INDIRECT("'"&amp;$B16&amp;"'!$E$29:$E$45"))-ROW(INDIRECT("'"&amp;$B16&amp;"'!$E$29"))+1)/--(FIND("VERIFICACIÓN: ", INDIRECT("'"&amp;$B16&amp;"'!$E$29:$E$45"))),0))),1),0),IF(MAX((IFERROR((ROW(INDIRECT("'"&amp;$B16&amp;"'!$F$29:$F$45"))-ROW(INDIRECT("'"&amp;$B16&amp;"'!$F$29"))+1)/--(IF(INDIRECT("'"&amp;$B16&amp;"'!$F$29:$F$45")&lt;&gt;"",1,0)),0))-(IFERROR((ROW(INDIRECT("'"&amp;$B16&amp;"'!$F$29:$F$45"))-ROW(INDIRECT("'"&amp;$B16&amp;"'!$F$29"))+1)/--(FIND("VERIFICACIÓN: ", INDIRECT("'"&amp;$B16&amp;"'!$F$29:$F$45"))),0)))&lt;&gt;0,INDEX(INDIRECT("'"&amp;$B16&amp;"'!$A$29:$G$45"),MAX((IFERROR((ROW(INDIRECT("'"&amp;$B16&amp;"'!$F$29:$F$45"))-ROW(INDIRECT("'"&amp;$B16&amp;"'!$F$29"))+1)/--(IF(INDIRECT("'"&amp;$B16&amp;"'!$F$29:$F$45")&lt;&gt;"",1,0)),0))-(IFERROR((ROW(INDIRECT("'"&amp;$B16&amp;"'!$F$29:$F$45"))-ROW(INDIRECT("'"&amp;$B16&amp;"'!$F$29"))+1)/--(FIND("VERIFICACIÓN: ", INDIRECT("'"&amp;$B16&amp;"'!$F$29:$F$45"))),0))),6),"NO DISPONIBLE"),IF(MAX(IFERROR((_xlfn._xlws.FILTER((ROW(INDIRECT("'"&amp;$B16&amp;"'!$E$29:$E$45"))-ROW(INDIRECT("'"&amp;$B16&amp;"'!$E$29"))+1)/--(IF(INDIRECT("'"&amp;$B16&amp;"'!$E$29:$E$45")&lt;&gt;"",1,0)), NOT(ISNUMBER(MATCH((ROW(INDIRECT("'"&amp;$B16&amp;"'!$E$29:$E$45"))-ROW(INDIRECT("'"&amp;$B16&amp;"'!$E$29"))+1)/--(IF(INDIRECT("'"&amp;$B16&amp;"'!$E$29:$E$45")&lt;&gt;"",1,0)), (ROW(INDIRECT("'"&amp;$B16&amp;"'!$E$29:$E$45"))-ROW(INDIRECT("'"&amp;$B16&amp;"'!$E$29"))+1)/--(FIND("VERIFICACIÓN: ", INDIRECT("'"&amp;$B16&amp;"'!$E$29:$E$45"))), 0))))),0))&lt;&gt;0,INDEX(INDIRECT("'"&amp;$B16&amp;"'!$A$29:$G$45"),MAX((IFERROR((ROW(INDIRECT("'"&amp;$B16&amp;"'!$E$29:$E$45"))-ROW(INDIRECT("'"&amp;$B16&amp;"'!$E$29"))+1)/--(IF(INDIRECT("'"&amp;$B16&amp;"'!$E$29:$E$45")&lt;&gt;"",1,0)),0))-(IFERROR((ROW(INDIRECT("'"&amp;$B16&amp;"'!$E$29:$E$45"))-ROW(INDIRECT("'"&amp;$B16&amp;"'!$E$29"))+1)/--(FIND("VERIFICACIÓN: ", INDIRECT("'"&amp;$B16&amp;"'!$E$29:$E$45"))),0))),5),"NO DISPONIBLE"))</f>
        <v>NO DISPONIBLE</v>
      </c>
      <c r="U16" s="3" t="s">
        <v>69</v>
      </c>
      <c r="V16" s="5" cm="1">
        <f t="array" aca="1" ref="V16" ca="1">IF((IFERROR(VLOOKUP(IFERROR(LOOKUP(2,1/((INDIRECT("'"&amp;$B16&amp;"'!$F$29:$F$45"))&lt;&gt;""),(INDIRECT("'"&amp;$B16&amp;"'!$F$29:$F$45"))),"NO DISPONIBLE"),CHOOSE({1,2},(INDIRECT("'"&amp;$B16&amp;"'!$F$29:$F$45")),(INDIRECT("'"&amp;$B16&amp;"'!$A$29:$A$45"))),2,0),0))&gt;(IFERROR(VLOOKUP(IFERROR(LOOKUP(2,1/((INDIRECT("'"&amp;$B16&amp;"'!$E$29:$E$45"))&lt;&gt;""),(INDIRECT("'"&amp;$B16&amp;"'!$E$29:$E$45"))),"NO DISPONIBLE"),CHOOSE({1,2},(INDIRECT("'"&amp;$B16&amp;"'!$E$29:$E$45")),(INDIRECT("'"&amp;$B16&amp;"'!$A$29:$A$45"))),2,0),0)),(IFERROR(VLOOKUP(IFERROR(LOOKUP(2,1/((INDIRECT("'"&amp;$B16&amp;"'!$F$29:$F$45"))&lt;&gt;""),(INDIRECT("'"&amp;$B16&amp;"'!$F$29:$F$45"))),"NO DISPONIBLE"),CHOOSE({1,2},(INDIRECT("'"&amp;$B16&amp;"'!$F$29:$F$45")),(INDIRECT("'"&amp;$B16&amp;"'!$A$29:$A$45"))),2,0),0)),(IFERROR(VLOOKUP(IFERROR(LOOKUP(2,1/((INDIRECT("'"&amp;$B16&amp;"'!$E$29:$E$45"))&lt;&gt;""),(INDIRECT("'"&amp;$B16&amp;"'!$E$29:$E$45"))),"NO DISPONIBLE"),CHOOSE({1,2},(INDIRECT("'"&amp;$B16&amp;"'!$E$29:$E$45")),(INDIRECT("'"&amp;$B16&amp;"'!$A$29:$A$45"))),2,0),0)))</f>
        <v>0</v>
      </c>
      <c r="W16" s="6" t="s">
        <v>70</v>
      </c>
      <c r="X16" s="7" t="str" cm="1">
        <f t="array" aca="1" ref="X16" ca="1">IF((IFERROR(VLOOKUP(IFERROR(LOOKUP(2,1/((INDIRECT("'"&amp;$B16&amp;"'!$E$29:$E$45"))&lt;&gt;""),(INDIRECT("'"&amp;$B16&amp;"'!$E$29:$E$45"))),"NO DISPONIBLE"),CHOOSE({1,2},(INDIRECT("'"&amp;$B16&amp;"'!$E$29:$E$45")),(INDIRECT("'"&amp;$B16&amp;"'!$A$29:$A$45"))),2,0),0))&gt;(IFERROR(VLOOKUP(IFERROR(LOOKUP(2,1/((INDIRECT("'"&amp;$B16&amp;"'!$F$29:$F$45"))&lt;&gt;""),(INDIRECT("'"&amp;$B16&amp;"'!$F$29:$F$45"))),"NO DISPONIBLE"),CHOOSE({1,2},(INDIRECT("'"&amp;$B16&amp;"'!$F$29:$F$45")),(INDIRECT("'"&amp;$B16&amp;"'!$A$29:$A$45"))),2,0),0)),IFERROR(LOOKUP(2,1/((INDIRECT("'"&amp;$B16&amp;"'!$E$29:$E$45"))&lt;&gt;""),(INDIRECT("'"&amp;$B16&amp;"'!$E$29:$E$45"))),"NO DISPONIBLE"),IFERROR(LOOKUP(2,1/((INDIRECT("'"&amp;$B16&amp;"'!$F$29:$F$45"))&lt;&gt;""),(INDIRECT("'"&amp;$B16&amp;"'!$F$29:$F$45"))),"NO DISPONIBLE"))</f>
        <v>NO DISPONIBLE</v>
      </c>
      <c r="Y16" s="3" t="s">
        <v>69</v>
      </c>
      <c r="Z16" s="5" cm="1">
        <f t="array" aca="1" ref="Z16" ca="1">IF((IFERROR(VLOOKUP(IFERROR(LOOKUP(2,1/((INDIRECT("'"&amp;$B16&amp;"'!$D$29:$D$45"))&lt;&gt;""),(INDIRECT("'"&amp;$B16&amp;"'!$D$29:$D$45"))),"NO DISPONIBLE"),CHOOSE({1,2},(INDIRECT("'"&amp;$B16&amp;"'!$D$29:$D$45")),(INDIRECT("'"&amp;$B16&amp;"'!$A$29:$A$45"))),2,0),0))&gt;(IFERROR(VLOOKUP(IFERROR(LOOKUP(2,1/((INDIRECT("'"&amp;$B16&amp;"'!$C$29:$C$45"))&lt;&gt;""),(INDIRECT("'"&amp;$B16&amp;"'!$C$29:$C$45"))),"NO DISPONIBLE"),CHOOSE({1,2},(INDIRECT("'"&amp;$B16&amp;"'!$C$29:$C$45")),(INDIRECT("'"&amp;$B16&amp;"'!$A$29:$A$45"))),2,0),0)),(IFERROR(VLOOKUP(IFERROR(LOOKUP(2,1/((INDIRECT("'"&amp;$B16&amp;"'!$D$29:$D$45"))&lt;&gt;""),(INDIRECT("'"&amp;$B16&amp;"'!$D$29:$D$45"))),"NO DISPONIBLE"),CHOOSE({1,2},(INDIRECT("'"&amp;$B16&amp;"'!$D$29:$D$45")),(INDIRECT("'"&amp;$B16&amp;"'!$A$29:$A$45"))),2,0),0)),(IFERROR(VLOOKUP(IFERROR(LOOKUP(2,1/((INDIRECT("'"&amp;$B16&amp;"'!$C$29:$C$45"))&lt;&gt;""),(INDIRECT("'"&amp;$B16&amp;"'!$C$29:$C$45"))),"NO DISPONIBLE"),CHOOSE({1,2},(INDIRECT("'"&amp;$B16&amp;"'!$C$29:$C$45")),(INDIRECT("'"&amp;$B16&amp;"'!$A$29:$A$45"))),2,0),0)))</f>
        <v>0</v>
      </c>
      <c r="AA16" s="6" t="s">
        <v>70</v>
      </c>
      <c r="AB16" s="7" t="str" cm="1">
        <f t="array" aca="1" ref="AB16" ca="1">IF((IFERROR(VLOOKUP(IFERROR(LOOKUP(2,1/((INDIRECT("'"&amp;$B16&amp;"'!$C$29:$C$45"))&lt;&gt;""),(INDIRECT("'"&amp;$B16&amp;"'!$C$29:$C$45"))),"NO DISPONIBLE"),CHOOSE({1,2},(INDIRECT("'"&amp;$B16&amp;"'!$C$29:$C$45")),(INDIRECT("'"&amp;$B16&amp;"'!$A$29:$A$45"))),2,0),0))&gt;(IFERROR(VLOOKUP(IFERROR(LOOKUP(2,1/((INDIRECT("'"&amp;$B16&amp;"'!$D$29:$D$45"))&lt;&gt;""),(INDIRECT("'"&amp;$B16&amp;"'!$D$29:$D$45"))),"NO DISPONIBLE"),CHOOSE({1,2},(INDIRECT("'"&amp;$B16&amp;"'!$D$29:$D$45")),(INDIRECT("'"&amp;$B16&amp;"'!$A$29:$A$45"))),2,0),0)),IFERROR(LOOKUP(2,1/((INDIRECT("'"&amp;$B16&amp;"'!$C$29:$C$45"))&lt;&gt;""),(INDIRECT("'"&amp;$B16&amp;"'!$C$29:$C$45"))),"NO DISPONIBLE"),IFERROR(LOOKUP(2,1/((INDIRECT("'"&amp;$B16&amp;"'!$D$29:$D$45"))&lt;&gt;""),(INDIRECT("'"&amp;$B16&amp;"'!$D$29:$D$45"))),"NO DISPONIBLE"))</f>
        <v>NO DISPONIBLE</v>
      </c>
      <c r="AC16" s="6" t="s">
        <v>82</v>
      </c>
      <c r="AD16" s="8"/>
    </row>
    <row r="17" spans="1:30" x14ac:dyDescent="0.3">
      <c r="A17" s="2" t="s">
        <v>32</v>
      </c>
      <c r="B17" s="2" t="str" cm="1">
        <f t="array" aca="1" ref="B17" ca="1">INDIRECT("'"&amp;$B17&amp;"'!$A$6")</f>
        <v>TERMÓMETRO INFRARROJO</v>
      </c>
      <c r="C17" s="3" t="str" cm="1">
        <f t="array" aca="1" ref="C17" ca="1">INDIRECT("'"&amp;$B17&amp;"'!$G$14")</f>
        <v>REDLINE</v>
      </c>
      <c r="D17" s="3" t="str" cm="1">
        <f t="array" aca="1" ref="D17" ca="1">INDIRECT("'"&amp;$B17&amp;"'!$G$15")</f>
        <v>PM6530A</v>
      </c>
      <c r="E17" s="24" cm="1">
        <f t="array" aca="1" ref="E17" ca="1">INDIRECT("'"&amp;$B17&amp;"'!$G$16")</f>
        <v>7807999655807</v>
      </c>
      <c r="F17" s="3" t="s">
        <v>66</v>
      </c>
      <c r="G17" s="3" t="s">
        <v>67</v>
      </c>
      <c r="H17" s="3" t="str" cm="1">
        <f t="array" aca="1" ref="H17" ca="1">INDIRECT("'"&amp;$B17&amp;"'!$G$11")</f>
        <v>TEMPERATURA</v>
      </c>
      <c r="I17" s="3" t="str" cm="1">
        <f t="array" aca="1" ref="I17" ca="1">INDIRECT("'"&amp;$B17&amp;"'!$C$11")</f>
        <v>MEDIA</v>
      </c>
      <c r="J17" s="3" t="str" cm="1">
        <f t="array" aca="1" ref="J17" ca="1">INDIRECT("'"&amp;$B17&amp;"'!$G$21")</f>
        <v>300 °C</v>
      </c>
      <c r="K17" s="3" t="str" cm="1">
        <f t="array" aca="1" ref="K17" ca="1">INDIRECT("'"&amp;$B17&amp;"'!$G$22")</f>
        <v>- 50 °C</v>
      </c>
      <c r="L17" s="3" t="str" cm="1">
        <f t="array" aca="1" ref="L17" ca="1">INDIRECT("'"&amp;$B17&amp;"'!$G$23")</f>
        <v>0,1 °C</v>
      </c>
      <c r="M17" s="4"/>
      <c r="N17" s="3" t="str" cm="1">
        <f t="array" aca="1" ref="N17" ca="1">INDIRECT("'"&amp;$B17&amp;"'!$G$22")</f>
        <v>- 50 °C</v>
      </c>
      <c r="O17" s="3"/>
      <c r="P17" s="7" t="str" cm="1">
        <f t="array" aca="1" ref="P17" ca="1">IFERROR(LOOKUP(2,1/((INDIRECT("'"&amp;$B17&amp;"'!$G$29:$G$45"))&lt;&gt;""),(INDIRECT("'"&amp;$B17&amp;"'!$G$29:$G$45"))),"NO DISPONIBLE")</f>
        <v>FUNCIONAL</v>
      </c>
      <c r="Q17" s="3" t="s">
        <v>69</v>
      </c>
      <c r="R17" s="5" cm="1">
        <f t="array" aca="1" ref="R17" ca="1">IF(IF(MAX((IFERROR((ROW(INDIRECT("'"&amp;$B17&amp;"'!$F$29:$F$45"))-ROW(INDIRECT("'"&amp;$B17&amp;"'!$F$29"))+1)/--(IF(INDIRECT("'"&amp;$B17&amp;"'!$F$29:$F$45")&lt;&gt;"",1,0)),0))-(IFERROR((ROW(INDIRECT("'"&amp;$B17&amp;"'!$F$29:$F$45"))-ROW(INDIRECT("'"&amp;$B17&amp;"'!$F$29"))+1)/--(FIND("VERIFICACIÓN: ", INDIRECT("'"&amp;$B17&amp;"'!$F$29:$F$45"))),0)))&lt;&gt;0,INDEX(INDIRECT("'"&amp;$B17&amp;"'!$A$29:$G$45"),MAX((IFERROR((ROW(INDIRECT("'"&amp;$B17&amp;"'!$F$29:$F$45"))-ROW(INDIRECT("'"&amp;$B17&amp;"'!$F$29"))+1)/--(IF(INDIRECT("'"&amp;$B17&amp;"'!$F$29:$F$45")&lt;&gt;"",1,0)),0))-(IFERROR((ROW(INDIRECT("'"&amp;$B17&amp;"'!$F$29:$F$45"))-ROW(INDIRECT("'"&amp;$B17&amp;"'!$F$29"))+1)/--(FIND("VERIFICACIÓN: ", INDIRECT("'"&amp;$B17&amp;"'!$F$29:$F$45"))),0))),1),0)&gt;IF(MAX(IFERROR((_xlfn._xlws.FILTER((ROW(INDIRECT("'"&amp;$B17&amp;"'!$E$29:$E$45"))-ROW(INDIRECT("'"&amp;$B17&amp;"'!$E$29"))+1)/--(IF(INDIRECT("'"&amp;$B17&amp;"'!$E$29:$E$45")&lt;&gt;"",1,0)), NOT(ISNUMBER(MATCH((ROW(INDIRECT("'"&amp;$B17&amp;"'!$E$29:$E$45"))-ROW(INDIRECT("'"&amp;$B17&amp;"'!$E$29"))+1)/--(IF(INDIRECT("'"&amp;$B17&amp;"'!$E$29:$E$45")&lt;&gt;"",1,0)), (ROW(INDIRECT("'"&amp;$B17&amp;"'!$E$29:$E$45"))-ROW(INDIRECT("'"&amp;$B17&amp;"'!$E$29"))+1)/--(FIND("VERIFICACIÓN: ", INDIRECT("'"&amp;$B17&amp;"'!$E$29:$E$45"))), 0))))),0))&lt;&gt;0,INDEX(INDIRECT("'"&amp;$B17&amp;"'!$A$29:$G$45"),MAX((IFERROR((ROW(INDIRECT("'"&amp;$B17&amp;"'!$E$29:$E$45"))-ROW(INDIRECT("'"&amp;$B17&amp;"'!$E$29"))+1)/--(IF(INDIRECT("'"&amp;$B17&amp;"'!$E$29:$E$45")&lt;&gt;"",1,0)),0))-(IFERROR((ROW(INDIRECT("'"&amp;$B17&amp;"'!$E$29:$E$45"))-ROW(INDIRECT("'"&amp;$B17&amp;"'!$E$29"))+1)/--(FIND("VERIFICACIÓN: ", INDIRECT("'"&amp;$B17&amp;"'!$E$29:$E$45"))),0))),1),0),IF(MAX((IFERROR((ROW(INDIRECT("'"&amp;$B17&amp;"'!$F$29:$F$45"))-ROW(INDIRECT("'"&amp;$B17&amp;"'!$F$29"))+1)/--(IF(INDIRECT("'"&amp;$B17&amp;"'!$F$29:$F$45")&lt;&gt;"",1,0)),0))-(IFERROR((ROW(INDIRECT("'"&amp;$B17&amp;"'!$F$29:$F$45"))-ROW(INDIRECT("'"&amp;$B17&amp;"'!$F$29"))+1)/--(FIND("VERIFICACIÓN: ", INDIRECT("'"&amp;$B17&amp;"'!$F$29:$F$45"))),0)))&lt;&gt;0,INDEX(INDIRECT("'"&amp;$B17&amp;"'!$A$29:$G$45"),MAX((IFERROR((ROW(INDIRECT("'"&amp;$B17&amp;"'!$F$29:$F$45"))-ROW(INDIRECT("'"&amp;$B17&amp;"'!$F$29"))+1)/--(IF(INDIRECT("'"&amp;$B17&amp;"'!$F$29:$F$45")&lt;&gt;"",1,0)),0))-(IFERROR((ROW(INDIRECT("'"&amp;$B17&amp;"'!$F$29:$F$45"))-ROW(INDIRECT("'"&amp;$B17&amp;"'!$F$29"))+1)/--(FIND("VERIFICACIÓN: ", INDIRECT("'"&amp;$B17&amp;"'!$F$29:$F$45"))),0))),1),0),IF(MAX(IFERROR((_xlfn._xlws.FILTER((ROW(INDIRECT("'"&amp;$B17&amp;"'!$E$29:$E$45"))-ROW(INDIRECT("'"&amp;$B17&amp;"'!$E$29"))+1)/--(IF(INDIRECT("'"&amp;$B17&amp;"'!$E$29:$E$45")&lt;&gt;"",1,0)), NOT(ISNUMBER(MATCH((ROW(INDIRECT("'"&amp;$B17&amp;"'!$E$29:$E$45"))-ROW(INDIRECT("'"&amp;$B17&amp;"'!$E$29"))+1)/--(IF(INDIRECT("'"&amp;$B17&amp;"'!$E$29:$E$45")&lt;&gt;"",1,0)), (ROW(INDIRECT("'"&amp;$B17&amp;"'!$E$29:$E$45"))-ROW(INDIRECT("'"&amp;$B17&amp;"'!$E$29"))+1)/--(FIND("VERIFICACIÓN: ", INDIRECT("'"&amp;$B17&amp;"'!$E$29:$E$45"))), 0))))),0))&lt;&gt;0,INDEX(INDIRECT("'"&amp;$B17&amp;"'!$A$29:$G$45"),MAX((IFERROR((ROW(INDIRECT("'"&amp;$B17&amp;"'!$E$29:$E$45"))-ROW(INDIRECT("'"&amp;$B17&amp;"'!$E$29"))+1)/--(IF(INDIRECT("'"&amp;$B17&amp;"'!$E$29:$E$45")&lt;&gt;"",1,0)),0))-(IFERROR((ROW(INDIRECT("'"&amp;$B17&amp;"'!$E$29:$E$45"))-ROW(INDIRECT("'"&amp;$B17&amp;"'!$E$29"))+1)/--(FIND("VERIFICACIÓN: ", INDIRECT("'"&amp;$B17&amp;"'!$E$29:$E$45"))),0))),1),0))</f>
        <v>0</v>
      </c>
      <c r="S17" s="6" t="s">
        <v>70</v>
      </c>
      <c r="T17" s="7" t="str" cm="1">
        <f t="array" aca="1" ref="T17" ca="1">IF(IF(MAX((IFERROR((ROW(INDIRECT("'"&amp;$B17&amp;"'!$F$29:$F$45"))-ROW(INDIRECT("'"&amp;$B17&amp;"'!$F$29"))+1)/--(IF(INDIRECT("'"&amp;$B17&amp;"'!$F$29:$F$45")&lt;&gt;"",1,0)),0))-(IFERROR((ROW(INDIRECT("'"&amp;$B17&amp;"'!$F$29:$F$45"))-ROW(INDIRECT("'"&amp;$B17&amp;"'!$F$29"))+1)/--(FIND("VERIFICACIÓN: ", INDIRECT("'"&amp;$B17&amp;"'!$F$29:$F$45"))),0)))&lt;&gt;0,INDEX(INDIRECT("'"&amp;$B17&amp;"'!$A$29:$G$45"),MAX((IFERROR((ROW(INDIRECT("'"&amp;$B17&amp;"'!$F$29:$F$45"))-ROW(INDIRECT("'"&amp;$B17&amp;"'!$F$29"))+1)/--(IF(INDIRECT("'"&amp;$B17&amp;"'!$F$29:$F$45")&lt;&gt;"",1,0)),0))-(IFERROR((ROW(INDIRECT("'"&amp;$B17&amp;"'!$F$29:$F$45"))-ROW(INDIRECT("'"&amp;$B17&amp;"'!$F$29"))+1)/--(FIND("VERIFICACIÓN: ", INDIRECT("'"&amp;$B17&amp;"'!$F$29:$F$45"))),0))),1),0)&gt;IF(MAX(IFERROR((_xlfn._xlws.FILTER((ROW(INDIRECT("'"&amp;$B17&amp;"'!$E$29:$E$45"))-ROW(INDIRECT("'"&amp;$B17&amp;"'!$E$29"))+1)/--(IF(INDIRECT("'"&amp;$B17&amp;"'!$E$29:$E$45")&lt;&gt;"",1,0)), NOT(ISNUMBER(MATCH((ROW(INDIRECT("'"&amp;$B17&amp;"'!$E$29:$E$45"))-ROW(INDIRECT("'"&amp;$B17&amp;"'!$E$29"))+1)/--(IF(INDIRECT("'"&amp;$B17&amp;"'!$E$29:$E$45")&lt;&gt;"",1,0)), (ROW(INDIRECT("'"&amp;$B17&amp;"'!$E$29:$E$45"))-ROW(INDIRECT("'"&amp;$B17&amp;"'!$E$29"))+1)/--(FIND("VERIFICACIÓN: ", INDIRECT("'"&amp;$B17&amp;"'!$E$29:$E$45"))), 0))))),0))&lt;&gt;0,INDEX(INDIRECT("'"&amp;$B17&amp;"'!$A$29:$G$45"),MAX((IFERROR((ROW(INDIRECT("'"&amp;$B17&amp;"'!$E$29:$E$45"))-ROW(INDIRECT("'"&amp;$B17&amp;"'!$E$29"))+1)/--(IF(INDIRECT("'"&amp;$B17&amp;"'!$E$29:$E$45")&lt;&gt;"",1,0)),0))-(IFERROR((ROW(INDIRECT("'"&amp;$B17&amp;"'!$E$29:$E$45"))-ROW(INDIRECT("'"&amp;$B17&amp;"'!$E$29"))+1)/--(FIND("VERIFICACIÓN: ", INDIRECT("'"&amp;$B17&amp;"'!$E$29:$E$45"))),0))),1),0),IF(MAX((IFERROR((ROW(INDIRECT("'"&amp;$B17&amp;"'!$F$29:$F$45"))-ROW(INDIRECT("'"&amp;$B17&amp;"'!$F$29"))+1)/--(IF(INDIRECT("'"&amp;$B17&amp;"'!$F$29:$F$45")&lt;&gt;"",1,0)),0))-(IFERROR((ROW(INDIRECT("'"&amp;$B17&amp;"'!$F$29:$F$45"))-ROW(INDIRECT("'"&amp;$B17&amp;"'!$F$29"))+1)/--(FIND("VERIFICACIÓN: ", INDIRECT("'"&amp;$B17&amp;"'!$F$29:$F$45"))),0)))&lt;&gt;0,INDEX(INDIRECT("'"&amp;$B17&amp;"'!$A$29:$G$45"),MAX((IFERROR((ROW(INDIRECT("'"&amp;$B17&amp;"'!$F$29:$F$45"))-ROW(INDIRECT("'"&amp;$B17&amp;"'!$F$29"))+1)/--(IF(INDIRECT("'"&amp;$B17&amp;"'!$F$29:$F$45")&lt;&gt;"",1,0)),0))-(IFERROR((ROW(INDIRECT("'"&amp;$B17&amp;"'!$F$29:$F$45"))-ROW(INDIRECT("'"&amp;$B17&amp;"'!$F$29"))+1)/--(FIND("VERIFICACIÓN: ", INDIRECT("'"&amp;$B17&amp;"'!$F$29:$F$45"))),0))),6),"NO DISPONIBLE"),IF(MAX(IFERROR((_xlfn._xlws.FILTER((ROW(INDIRECT("'"&amp;$B17&amp;"'!$E$29:$E$45"))-ROW(INDIRECT("'"&amp;$B17&amp;"'!$E$29"))+1)/--(IF(INDIRECT("'"&amp;$B17&amp;"'!$E$29:$E$45")&lt;&gt;"",1,0)), NOT(ISNUMBER(MATCH((ROW(INDIRECT("'"&amp;$B17&amp;"'!$E$29:$E$45"))-ROW(INDIRECT("'"&amp;$B17&amp;"'!$E$29"))+1)/--(IF(INDIRECT("'"&amp;$B17&amp;"'!$E$29:$E$45")&lt;&gt;"",1,0)), (ROW(INDIRECT("'"&amp;$B17&amp;"'!$E$29:$E$45"))-ROW(INDIRECT("'"&amp;$B17&amp;"'!$E$29"))+1)/--(FIND("VERIFICACIÓN: ", INDIRECT("'"&amp;$B17&amp;"'!$E$29:$E$45"))), 0))))),0))&lt;&gt;0,INDEX(INDIRECT("'"&amp;$B17&amp;"'!$A$29:$G$45"),MAX((IFERROR((ROW(INDIRECT("'"&amp;$B17&amp;"'!$E$29:$E$45"))-ROW(INDIRECT("'"&amp;$B17&amp;"'!$E$29"))+1)/--(IF(INDIRECT("'"&amp;$B17&amp;"'!$E$29:$E$45")&lt;&gt;"",1,0)),0))-(IFERROR((ROW(INDIRECT("'"&amp;$B17&amp;"'!$E$29:$E$45"))-ROW(INDIRECT("'"&amp;$B17&amp;"'!$E$29"))+1)/--(FIND("VERIFICACIÓN: ", INDIRECT("'"&amp;$B17&amp;"'!$E$29:$E$45"))),0))),5),"NO DISPONIBLE"))</f>
        <v>NO DISPONIBLE</v>
      </c>
      <c r="U17" s="3" t="s">
        <v>69</v>
      </c>
      <c r="V17" s="5" cm="1">
        <f t="array" aca="1" ref="V17" ca="1">IF((IFERROR(VLOOKUP(IFERROR(LOOKUP(2,1/((INDIRECT("'"&amp;$B17&amp;"'!$F$29:$F$45"))&lt;&gt;""),(INDIRECT("'"&amp;$B17&amp;"'!$F$29:$F$45"))),"NO DISPONIBLE"),CHOOSE({1,2},(INDIRECT("'"&amp;$B17&amp;"'!$F$29:$F$45")),(INDIRECT("'"&amp;$B17&amp;"'!$A$29:$A$45"))),2,0),0))&gt;(IFERROR(VLOOKUP(IFERROR(LOOKUP(2,1/((INDIRECT("'"&amp;$B17&amp;"'!$E$29:$E$45"))&lt;&gt;""),(INDIRECT("'"&amp;$B17&amp;"'!$E$29:$E$45"))),"NO DISPONIBLE"),CHOOSE({1,2},(INDIRECT("'"&amp;$B17&amp;"'!$E$29:$E$45")),(INDIRECT("'"&amp;$B17&amp;"'!$A$29:$A$45"))),2,0),0)),(IFERROR(VLOOKUP(IFERROR(LOOKUP(2,1/((INDIRECT("'"&amp;$B17&amp;"'!$F$29:$F$45"))&lt;&gt;""),(INDIRECT("'"&amp;$B17&amp;"'!$F$29:$F$45"))),"NO DISPONIBLE"),CHOOSE({1,2},(INDIRECT("'"&amp;$B17&amp;"'!$F$29:$F$45")),(INDIRECT("'"&amp;$B17&amp;"'!$A$29:$A$45"))),2,0),0)),(IFERROR(VLOOKUP(IFERROR(LOOKUP(2,1/((INDIRECT("'"&amp;$B17&amp;"'!$E$29:$E$45"))&lt;&gt;""),(INDIRECT("'"&amp;$B17&amp;"'!$E$29:$E$45"))),"NO DISPONIBLE"),CHOOSE({1,2},(INDIRECT("'"&amp;$B17&amp;"'!$E$29:$E$45")),(INDIRECT("'"&amp;$B17&amp;"'!$A$29:$A$45"))),2,0),0)))</f>
        <v>0</v>
      </c>
      <c r="W17" s="6" t="s">
        <v>70</v>
      </c>
      <c r="X17" s="7" t="str" cm="1">
        <f t="array" aca="1" ref="X17" ca="1">IF((IFERROR(VLOOKUP(IFERROR(LOOKUP(2,1/((INDIRECT("'"&amp;$B17&amp;"'!$E$29:$E$45"))&lt;&gt;""),(INDIRECT("'"&amp;$B17&amp;"'!$E$29:$E$45"))),"NO DISPONIBLE"),CHOOSE({1,2},(INDIRECT("'"&amp;$B17&amp;"'!$E$29:$E$45")),(INDIRECT("'"&amp;$B17&amp;"'!$A$29:$A$45"))),2,0),0))&gt;(IFERROR(VLOOKUP(IFERROR(LOOKUP(2,1/((INDIRECT("'"&amp;$B17&amp;"'!$F$29:$F$45"))&lt;&gt;""),(INDIRECT("'"&amp;$B17&amp;"'!$F$29:$F$45"))),"NO DISPONIBLE"),CHOOSE({1,2},(INDIRECT("'"&amp;$B17&amp;"'!$F$29:$F$45")),(INDIRECT("'"&amp;$B17&amp;"'!$A$29:$A$45"))),2,0),0)),IFERROR(LOOKUP(2,1/((INDIRECT("'"&amp;$B17&amp;"'!$E$29:$E$45"))&lt;&gt;""),(INDIRECT("'"&amp;$B17&amp;"'!$E$29:$E$45"))),"NO DISPONIBLE"),IFERROR(LOOKUP(2,1/((INDIRECT("'"&amp;$B17&amp;"'!$F$29:$F$45"))&lt;&gt;""),(INDIRECT("'"&amp;$B17&amp;"'!$F$29:$F$45"))),"NO DISPONIBLE"))</f>
        <v>NO DISPONIBLE</v>
      </c>
      <c r="Y17" s="3" t="s">
        <v>69</v>
      </c>
      <c r="Z17" s="5" cm="1">
        <f t="array" aca="1" ref="Z17" ca="1">IF((IFERROR(VLOOKUP(IFERROR(LOOKUP(2,1/((INDIRECT("'"&amp;$B17&amp;"'!$D$29:$D$45"))&lt;&gt;""),(INDIRECT("'"&amp;$B17&amp;"'!$D$29:$D$45"))),"NO DISPONIBLE"),CHOOSE({1,2},(INDIRECT("'"&amp;$B17&amp;"'!$D$29:$D$45")),(INDIRECT("'"&amp;$B17&amp;"'!$A$29:$A$45"))),2,0),0))&gt;(IFERROR(VLOOKUP(IFERROR(LOOKUP(2,1/((INDIRECT("'"&amp;$B17&amp;"'!$C$29:$C$45"))&lt;&gt;""),(INDIRECT("'"&amp;$B17&amp;"'!$C$29:$C$45"))),"NO DISPONIBLE"),CHOOSE({1,2},(INDIRECT("'"&amp;$B17&amp;"'!$C$29:$C$45")),(INDIRECT("'"&amp;$B17&amp;"'!$A$29:$A$45"))),2,0),0)),(IFERROR(VLOOKUP(IFERROR(LOOKUP(2,1/((INDIRECT("'"&amp;$B17&amp;"'!$D$29:$D$45"))&lt;&gt;""),(INDIRECT("'"&amp;$B17&amp;"'!$D$29:$D$45"))),"NO DISPONIBLE"),CHOOSE({1,2},(INDIRECT("'"&amp;$B17&amp;"'!$D$29:$D$45")),(INDIRECT("'"&amp;$B17&amp;"'!$A$29:$A$45"))),2,0),0)),(IFERROR(VLOOKUP(IFERROR(LOOKUP(2,1/((INDIRECT("'"&amp;$B17&amp;"'!$C$29:$C$45"))&lt;&gt;""),(INDIRECT("'"&amp;$B17&amp;"'!$C$29:$C$45"))),"NO DISPONIBLE"),CHOOSE({1,2},(INDIRECT("'"&amp;$B17&amp;"'!$C$29:$C$45")),(INDIRECT("'"&amp;$B17&amp;"'!$A$29:$A$45"))),2,0),0)))</f>
        <v>0</v>
      </c>
      <c r="AA17" s="6" t="s">
        <v>70</v>
      </c>
      <c r="AB17" s="7" t="str" cm="1">
        <f t="array" aca="1" ref="AB17" ca="1">IF((IFERROR(VLOOKUP(IFERROR(LOOKUP(2,1/((INDIRECT("'"&amp;$B17&amp;"'!$C$29:$C$45"))&lt;&gt;""),(INDIRECT("'"&amp;$B17&amp;"'!$C$29:$C$45"))),"NO DISPONIBLE"),CHOOSE({1,2},(INDIRECT("'"&amp;$B17&amp;"'!$C$29:$C$45")),(INDIRECT("'"&amp;$B17&amp;"'!$A$29:$A$45"))),2,0),0))&gt;(IFERROR(VLOOKUP(IFERROR(LOOKUP(2,1/((INDIRECT("'"&amp;$B17&amp;"'!$D$29:$D$45"))&lt;&gt;""),(INDIRECT("'"&amp;$B17&amp;"'!$D$29:$D$45"))),"NO DISPONIBLE"),CHOOSE({1,2},(INDIRECT("'"&amp;$B17&amp;"'!$D$29:$D$45")),(INDIRECT("'"&amp;$B17&amp;"'!$A$29:$A$45"))),2,0),0)),IFERROR(LOOKUP(2,1/((INDIRECT("'"&amp;$B17&amp;"'!$C$29:$C$45"))&lt;&gt;""),(INDIRECT("'"&amp;$B17&amp;"'!$C$29:$C$45"))),"NO DISPONIBLE"),IFERROR(LOOKUP(2,1/((INDIRECT("'"&amp;$B17&amp;"'!$D$29:$D$45"))&lt;&gt;""),(INDIRECT("'"&amp;$B17&amp;"'!$D$29:$D$45"))),"NO DISPONIBLE"))</f>
        <v>NO DISPONIBLE</v>
      </c>
      <c r="AC17" s="6" t="s">
        <v>82</v>
      </c>
      <c r="AD17" s="8"/>
    </row>
    <row r="18" spans="1:30" x14ac:dyDescent="0.3">
      <c r="A18" s="2" t="s">
        <v>33</v>
      </c>
      <c r="B18" s="2" t="str" cm="1">
        <f t="array" aca="1" ref="B18" ca="1">INDIRECT("'"&amp;$B18&amp;"'!$A$6")</f>
        <v>NIVEL</v>
      </c>
      <c r="C18" s="3" t="str" cm="1">
        <f t="array" aca="1" ref="C18" ca="1">INDIRECT("'"&amp;$B18&amp;"'!$G$14")</f>
        <v>REDLINE</v>
      </c>
      <c r="D18" s="3" t="str" cm="1">
        <f t="array" aca="1" ref="D18" ca="1">INDIRECT("'"&amp;$B18&amp;"'!$G$15")</f>
        <v>NO PORTA</v>
      </c>
      <c r="E18" s="24" cm="1">
        <f t="array" aca="1" ref="E18" ca="1">INDIRECT("'"&amp;$B18&amp;"'!$G$16")</f>
        <v>780799058431</v>
      </c>
      <c r="F18" s="3" t="s">
        <v>65</v>
      </c>
      <c r="G18" s="3" t="s">
        <v>67</v>
      </c>
      <c r="H18" s="3" t="str" cm="1">
        <f t="array" aca="1" ref="H18" ca="1">INDIRECT("'"&amp;$B18&amp;"'!$G$11")</f>
        <v>LONGITUD</v>
      </c>
      <c r="I18" s="3" t="str" cm="1">
        <f t="array" aca="1" ref="I18" ca="1">INDIRECT("'"&amp;$B18&amp;"'!$C$11")</f>
        <v>MEDIA</v>
      </c>
      <c r="J18" s="3" t="str" cm="1">
        <f t="array" aca="1" ref="J18" ca="1">INDIRECT("'"&amp;$B18&amp;"'!$G$21")</f>
        <v>N/A</v>
      </c>
      <c r="K18" s="3" t="str" cm="1">
        <f t="array" aca="1" ref="K18" ca="1">INDIRECT("'"&amp;$B18&amp;"'!$G$22")</f>
        <v>N/A</v>
      </c>
      <c r="L18" s="3" t="str" cm="1">
        <f t="array" aca="1" ref="L18" ca="1">INDIRECT("'"&amp;$B18&amp;"'!$G$23")</f>
        <v>N/A</v>
      </c>
      <c r="M18" s="4"/>
      <c r="N18" s="3" t="str" cm="1">
        <f t="array" aca="1" ref="N18" ca="1">INDIRECT("'"&amp;$B18&amp;"'!$G$22")</f>
        <v>N/A</v>
      </c>
      <c r="O18" s="3"/>
      <c r="P18" s="7" t="str" cm="1">
        <f t="array" aca="1" ref="P18" ca="1">IFERROR(LOOKUP(2,1/((INDIRECT("'"&amp;$B18&amp;"'!$G$29:$G$45"))&lt;&gt;""),(INDIRECT("'"&amp;$B18&amp;"'!$G$29:$G$45"))),"NO DISPONIBLE")</f>
        <v>FUNCIONAL</v>
      </c>
      <c r="Q18" s="3" t="s">
        <v>69</v>
      </c>
      <c r="R18" s="5" cm="1">
        <f t="array" aca="1" ref="R18" ca="1">IF(IF(MAX((IFERROR((ROW(INDIRECT("'"&amp;$B18&amp;"'!$F$29:$F$45"))-ROW(INDIRECT("'"&amp;$B18&amp;"'!$F$29"))+1)/--(IF(INDIRECT("'"&amp;$B18&amp;"'!$F$29:$F$45")&lt;&gt;"",1,0)),0))-(IFERROR((ROW(INDIRECT("'"&amp;$B18&amp;"'!$F$29:$F$45"))-ROW(INDIRECT("'"&amp;$B18&amp;"'!$F$29"))+1)/--(FIND("VERIFICACIÓN: ", INDIRECT("'"&amp;$B18&amp;"'!$F$29:$F$45"))),0)))&lt;&gt;0,INDEX(INDIRECT("'"&amp;$B18&amp;"'!$A$29:$G$45"),MAX((IFERROR((ROW(INDIRECT("'"&amp;$B18&amp;"'!$F$29:$F$45"))-ROW(INDIRECT("'"&amp;$B18&amp;"'!$F$29"))+1)/--(IF(INDIRECT("'"&amp;$B18&amp;"'!$F$29:$F$45")&lt;&gt;"",1,0)),0))-(IFERROR((ROW(INDIRECT("'"&amp;$B18&amp;"'!$F$29:$F$45"))-ROW(INDIRECT("'"&amp;$B18&amp;"'!$F$29"))+1)/--(FIND("VERIFICACIÓN: ", INDIRECT("'"&amp;$B18&amp;"'!$F$29:$F$45"))),0))),1),0)&gt;IF(MAX(IFERROR((_xlfn._xlws.FILTER((ROW(INDIRECT("'"&amp;$B18&amp;"'!$E$29:$E$45"))-ROW(INDIRECT("'"&amp;$B18&amp;"'!$E$29"))+1)/--(IF(INDIRECT("'"&amp;$B18&amp;"'!$E$29:$E$45")&lt;&gt;"",1,0)), NOT(ISNUMBER(MATCH((ROW(INDIRECT("'"&amp;$B18&amp;"'!$E$29:$E$45"))-ROW(INDIRECT("'"&amp;$B18&amp;"'!$E$29"))+1)/--(IF(INDIRECT("'"&amp;$B18&amp;"'!$E$29:$E$45")&lt;&gt;"",1,0)), (ROW(INDIRECT("'"&amp;$B18&amp;"'!$E$29:$E$45"))-ROW(INDIRECT("'"&amp;$B18&amp;"'!$E$29"))+1)/--(FIND("VERIFICACIÓN: ", INDIRECT("'"&amp;$B18&amp;"'!$E$29:$E$45"))), 0))))),0))&lt;&gt;0,INDEX(INDIRECT("'"&amp;$B18&amp;"'!$A$29:$G$45"),MAX((IFERROR((ROW(INDIRECT("'"&amp;$B18&amp;"'!$E$29:$E$45"))-ROW(INDIRECT("'"&amp;$B18&amp;"'!$E$29"))+1)/--(IF(INDIRECT("'"&amp;$B18&amp;"'!$E$29:$E$45")&lt;&gt;"",1,0)),0))-(IFERROR((ROW(INDIRECT("'"&amp;$B18&amp;"'!$E$29:$E$45"))-ROW(INDIRECT("'"&amp;$B18&amp;"'!$E$29"))+1)/--(FIND("VERIFICACIÓN: ", INDIRECT("'"&amp;$B18&amp;"'!$E$29:$E$45"))),0))),1),0),IF(MAX((IFERROR((ROW(INDIRECT("'"&amp;$B18&amp;"'!$F$29:$F$45"))-ROW(INDIRECT("'"&amp;$B18&amp;"'!$F$29"))+1)/--(IF(INDIRECT("'"&amp;$B18&amp;"'!$F$29:$F$45")&lt;&gt;"",1,0)),0))-(IFERROR((ROW(INDIRECT("'"&amp;$B18&amp;"'!$F$29:$F$45"))-ROW(INDIRECT("'"&amp;$B18&amp;"'!$F$29"))+1)/--(FIND("VERIFICACIÓN: ", INDIRECT("'"&amp;$B18&amp;"'!$F$29:$F$45"))),0)))&lt;&gt;0,INDEX(INDIRECT("'"&amp;$B18&amp;"'!$A$29:$G$45"),MAX((IFERROR((ROW(INDIRECT("'"&amp;$B18&amp;"'!$F$29:$F$45"))-ROW(INDIRECT("'"&amp;$B18&amp;"'!$F$29"))+1)/--(IF(INDIRECT("'"&amp;$B18&amp;"'!$F$29:$F$45")&lt;&gt;"",1,0)),0))-(IFERROR((ROW(INDIRECT("'"&amp;$B18&amp;"'!$F$29:$F$45"))-ROW(INDIRECT("'"&amp;$B18&amp;"'!$F$29"))+1)/--(FIND("VERIFICACIÓN: ", INDIRECT("'"&amp;$B18&amp;"'!$F$29:$F$45"))),0))),1),0),IF(MAX(IFERROR((_xlfn._xlws.FILTER((ROW(INDIRECT("'"&amp;$B18&amp;"'!$E$29:$E$45"))-ROW(INDIRECT("'"&amp;$B18&amp;"'!$E$29"))+1)/--(IF(INDIRECT("'"&amp;$B18&amp;"'!$E$29:$E$45")&lt;&gt;"",1,0)), NOT(ISNUMBER(MATCH((ROW(INDIRECT("'"&amp;$B18&amp;"'!$E$29:$E$45"))-ROW(INDIRECT("'"&amp;$B18&amp;"'!$E$29"))+1)/--(IF(INDIRECT("'"&amp;$B18&amp;"'!$E$29:$E$45")&lt;&gt;"",1,0)), (ROW(INDIRECT("'"&amp;$B18&amp;"'!$E$29:$E$45"))-ROW(INDIRECT("'"&amp;$B18&amp;"'!$E$29"))+1)/--(FIND("VERIFICACIÓN: ", INDIRECT("'"&amp;$B18&amp;"'!$E$29:$E$45"))), 0))))),0))&lt;&gt;0,INDEX(INDIRECT("'"&amp;$B18&amp;"'!$A$29:$G$45"),MAX((IFERROR((ROW(INDIRECT("'"&amp;$B18&amp;"'!$E$29:$E$45"))-ROW(INDIRECT("'"&amp;$B18&amp;"'!$E$29"))+1)/--(IF(INDIRECT("'"&amp;$B18&amp;"'!$E$29:$E$45")&lt;&gt;"",1,0)),0))-(IFERROR((ROW(INDIRECT("'"&amp;$B18&amp;"'!$E$29:$E$45"))-ROW(INDIRECT("'"&amp;$B18&amp;"'!$E$29"))+1)/--(FIND("VERIFICACIÓN: ", INDIRECT("'"&amp;$B18&amp;"'!$E$29:$E$45"))),0))),1),0))</f>
        <v>0</v>
      </c>
      <c r="S18" s="6" t="s">
        <v>70</v>
      </c>
      <c r="T18" s="7" t="str" cm="1">
        <f t="array" aca="1" ref="T18" ca="1">IF(IF(MAX((IFERROR((ROW(INDIRECT("'"&amp;$B18&amp;"'!$F$29:$F$45"))-ROW(INDIRECT("'"&amp;$B18&amp;"'!$F$29"))+1)/--(IF(INDIRECT("'"&amp;$B18&amp;"'!$F$29:$F$45")&lt;&gt;"",1,0)),0))-(IFERROR((ROW(INDIRECT("'"&amp;$B18&amp;"'!$F$29:$F$45"))-ROW(INDIRECT("'"&amp;$B18&amp;"'!$F$29"))+1)/--(FIND("VERIFICACIÓN: ", INDIRECT("'"&amp;$B18&amp;"'!$F$29:$F$45"))),0)))&lt;&gt;0,INDEX(INDIRECT("'"&amp;$B18&amp;"'!$A$29:$G$45"),MAX((IFERROR((ROW(INDIRECT("'"&amp;$B18&amp;"'!$F$29:$F$45"))-ROW(INDIRECT("'"&amp;$B18&amp;"'!$F$29"))+1)/--(IF(INDIRECT("'"&amp;$B18&amp;"'!$F$29:$F$45")&lt;&gt;"",1,0)),0))-(IFERROR((ROW(INDIRECT("'"&amp;$B18&amp;"'!$F$29:$F$45"))-ROW(INDIRECT("'"&amp;$B18&amp;"'!$F$29"))+1)/--(FIND("VERIFICACIÓN: ", INDIRECT("'"&amp;$B18&amp;"'!$F$29:$F$45"))),0))),1),0)&gt;IF(MAX(IFERROR((_xlfn._xlws.FILTER((ROW(INDIRECT("'"&amp;$B18&amp;"'!$E$29:$E$45"))-ROW(INDIRECT("'"&amp;$B18&amp;"'!$E$29"))+1)/--(IF(INDIRECT("'"&amp;$B18&amp;"'!$E$29:$E$45")&lt;&gt;"",1,0)), NOT(ISNUMBER(MATCH((ROW(INDIRECT("'"&amp;$B18&amp;"'!$E$29:$E$45"))-ROW(INDIRECT("'"&amp;$B18&amp;"'!$E$29"))+1)/--(IF(INDIRECT("'"&amp;$B18&amp;"'!$E$29:$E$45")&lt;&gt;"",1,0)), (ROW(INDIRECT("'"&amp;$B18&amp;"'!$E$29:$E$45"))-ROW(INDIRECT("'"&amp;$B18&amp;"'!$E$29"))+1)/--(FIND("VERIFICACIÓN: ", INDIRECT("'"&amp;$B18&amp;"'!$E$29:$E$45"))), 0))))),0))&lt;&gt;0,INDEX(INDIRECT("'"&amp;$B18&amp;"'!$A$29:$G$45"),MAX((IFERROR((ROW(INDIRECT("'"&amp;$B18&amp;"'!$E$29:$E$45"))-ROW(INDIRECT("'"&amp;$B18&amp;"'!$E$29"))+1)/--(IF(INDIRECT("'"&amp;$B18&amp;"'!$E$29:$E$45")&lt;&gt;"",1,0)),0))-(IFERROR((ROW(INDIRECT("'"&amp;$B18&amp;"'!$E$29:$E$45"))-ROW(INDIRECT("'"&amp;$B18&amp;"'!$E$29"))+1)/--(FIND("VERIFICACIÓN: ", INDIRECT("'"&amp;$B18&amp;"'!$E$29:$E$45"))),0))),1),0),IF(MAX((IFERROR((ROW(INDIRECT("'"&amp;$B18&amp;"'!$F$29:$F$45"))-ROW(INDIRECT("'"&amp;$B18&amp;"'!$F$29"))+1)/--(IF(INDIRECT("'"&amp;$B18&amp;"'!$F$29:$F$45")&lt;&gt;"",1,0)),0))-(IFERROR((ROW(INDIRECT("'"&amp;$B18&amp;"'!$F$29:$F$45"))-ROW(INDIRECT("'"&amp;$B18&amp;"'!$F$29"))+1)/--(FIND("VERIFICACIÓN: ", INDIRECT("'"&amp;$B18&amp;"'!$F$29:$F$45"))),0)))&lt;&gt;0,INDEX(INDIRECT("'"&amp;$B18&amp;"'!$A$29:$G$45"),MAX((IFERROR((ROW(INDIRECT("'"&amp;$B18&amp;"'!$F$29:$F$45"))-ROW(INDIRECT("'"&amp;$B18&amp;"'!$F$29"))+1)/--(IF(INDIRECT("'"&amp;$B18&amp;"'!$F$29:$F$45")&lt;&gt;"",1,0)),0))-(IFERROR((ROW(INDIRECT("'"&amp;$B18&amp;"'!$F$29:$F$45"))-ROW(INDIRECT("'"&amp;$B18&amp;"'!$F$29"))+1)/--(FIND("VERIFICACIÓN: ", INDIRECT("'"&amp;$B18&amp;"'!$F$29:$F$45"))),0))),6),"NO DISPONIBLE"),IF(MAX(IFERROR((_xlfn._xlws.FILTER((ROW(INDIRECT("'"&amp;$B18&amp;"'!$E$29:$E$45"))-ROW(INDIRECT("'"&amp;$B18&amp;"'!$E$29"))+1)/--(IF(INDIRECT("'"&amp;$B18&amp;"'!$E$29:$E$45")&lt;&gt;"",1,0)), NOT(ISNUMBER(MATCH((ROW(INDIRECT("'"&amp;$B18&amp;"'!$E$29:$E$45"))-ROW(INDIRECT("'"&amp;$B18&amp;"'!$E$29"))+1)/--(IF(INDIRECT("'"&amp;$B18&amp;"'!$E$29:$E$45")&lt;&gt;"",1,0)), (ROW(INDIRECT("'"&amp;$B18&amp;"'!$E$29:$E$45"))-ROW(INDIRECT("'"&amp;$B18&amp;"'!$E$29"))+1)/--(FIND("VERIFICACIÓN: ", INDIRECT("'"&amp;$B18&amp;"'!$E$29:$E$45"))), 0))))),0))&lt;&gt;0,INDEX(INDIRECT("'"&amp;$B18&amp;"'!$A$29:$G$45"),MAX((IFERROR((ROW(INDIRECT("'"&amp;$B18&amp;"'!$E$29:$E$45"))-ROW(INDIRECT("'"&amp;$B18&amp;"'!$E$29"))+1)/--(IF(INDIRECT("'"&amp;$B18&amp;"'!$E$29:$E$45")&lt;&gt;"",1,0)),0))-(IFERROR((ROW(INDIRECT("'"&amp;$B18&amp;"'!$E$29:$E$45"))-ROW(INDIRECT("'"&amp;$B18&amp;"'!$E$29"))+1)/--(FIND("VERIFICACIÓN: ", INDIRECT("'"&amp;$B18&amp;"'!$E$29:$E$45"))),0))),5),"NO DISPONIBLE"))</f>
        <v>NO DISPONIBLE</v>
      </c>
      <c r="U18" s="3" t="s">
        <v>69</v>
      </c>
      <c r="V18" s="5" cm="1">
        <f t="array" aca="1" ref="V18" ca="1">IF((IFERROR(VLOOKUP(IFERROR(LOOKUP(2,1/((INDIRECT("'"&amp;$B18&amp;"'!$F$29:$F$45"))&lt;&gt;""),(INDIRECT("'"&amp;$B18&amp;"'!$F$29:$F$45"))),"NO DISPONIBLE"),CHOOSE({1,2},(INDIRECT("'"&amp;$B18&amp;"'!$F$29:$F$45")),(INDIRECT("'"&amp;$B18&amp;"'!$A$29:$A$45"))),2,0),0))&gt;(IFERROR(VLOOKUP(IFERROR(LOOKUP(2,1/((INDIRECT("'"&amp;$B18&amp;"'!$E$29:$E$45"))&lt;&gt;""),(INDIRECT("'"&amp;$B18&amp;"'!$E$29:$E$45"))),"NO DISPONIBLE"),CHOOSE({1,2},(INDIRECT("'"&amp;$B18&amp;"'!$E$29:$E$45")),(INDIRECT("'"&amp;$B18&amp;"'!$A$29:$A$45"))),2,0),0)),(IFERROR(VLOOKUP(IFERROR(LOOKUP(2,1/((INDIRECT("'"&amp;$B18&amp;"'!$F$29:$F$45"))&lt;&gt;""),(INDIRECT("'"&amp;$B18&amp;"'!$F$29:$F$45"))),"NO DISPONIBLE"),CHOOSE({1,2},(INDIRECT("'"&amp;$B18&amp;"'!$F$29:$F$45")),(INDIRECT("'"&amp;$B18&amp;"'!$A$29:$A$45"))),2,0),0)),(IFERROR(VLOOKUP(IFERROR(LOOKUP(2,1/((INDIRECT("'"&amp;$B18&amp;"'!$E$29:$E$45"))&lt;&gt;""),(INDIRECT("'"&amp;$B18&amp;"'!$E$29:$E$45"))),"NO DISPONIBLE"),CHOOSE({1,2},(INDIRECT("'"&amp;$B18&amp;"'!$E$29:$E$45")),(INDIRECT("'"&amp;$B18&amp;"'!$A$29:$A$45"))),2,0),0)))</f>
        <v>0</v>
      </c>
      <c r="W18" s="6" t="s">
        <v>70</v>
      </c>
      <c r="X18" s="7" t="str" cm="1">
        <f t="array" aca="1" ref="X18" ca="1">IF((IFERROR(VLOOKUP(IFERROR(LOOKUP(2,1/((INDIRECT("'"&amp;$B18&amp;"'!$E$29:$E$45"))&lt;&gt;""),(INDIRECT("'"&amp;$B18&amp;"'!$E$29:$E$45"))),"NO DISPONIBLE"),CHOOSE({1,2},(INDIRECT("'"&amp;$B18&amp;"'!$E$29:$E$45")),(INDIRECT("'"&amp;$B18&amp;"'!$A$29:$A$45"))),2,0),0))&gt;(IFERROR(VLOOKUP(IFERROR(LOOKUP(2,1/((INDIRECT("'"&amp;$B18&amp;"'!$F$29:$F$45"))&lt;&gt;""),(INDIRECT("'"&amp;$B18&amp;"'!$F$29:$F$45"))),"NO DISPONIBLE"),CHOOSE({1,2},(INDIRECT("'"&amp;$B18&amp;"'!$F$29:$F$45")),(INDIRECT("'"&amp;$B18&amp;"'!$A$29:$A$45"))),2,0),0)),IFERROR(LOOKUP(2,1/((INDIRECT("'"&amp;$B18&amp;"'!$E$29:$E$45"))&lt;&gt;""),(INDIRECT("'"&amp;$B18&amp;"'!$E$29:$E$45"))),"NO DISPONIBLE"),IFERROR(LOOKUP(2,1/((INDIRECT("'"&amp;$B18&amp;"'!$F$29:$F$45"))&lt;&gt;""),(INDIRECT("'"&amp;$B18&amp;"'!$F$29:$F$45"))),"NO DISPONIBLE"))</f>
        <v>NO DISPONIBLE</v>
      </c>
      <c r="Y18" s="3" t="s">
        <v>69</v>
      </c>
      <c r="Z18" s="5" cm="1">
        <f t="array" aca="1" ref="Z18" ca="1">IF((IFERROR(VLOOKUP(IFERROR(LOOKUP(2,1/((INDIRECT("'"&amp;$B18&amp;"'!$D$29:$D$45"))&lt;&gt;""),(INDIRECT("'"&amp;$B18&amp;"'!$D$29:$D$45"))),"NO DISPONIBLE"),CHOOSE({1,2},(INDIRECT("'"&amp;$B18&amp;"'!$D$29:$D$45")),(INDIRECT("'"&amp;$B18&amp;"'!$A$29:$A$45"))),2,0),0))&gt;(IFERROR(VLOOKUP(IFERROR(LOOKUP(2,1/((INDIRECT("'"&amp;$B18&amp;"'!$C$29:$C$45"))&lt;&gt;""),(INDIRECT("'"&amp;$B18&amp;"'!$C$29:$C$45"))),"NO DISPONIBLE"),CHOOSE({1,2},(INDIRECT("'"&amp;$B18&amp;"'!$C$29:$C$45")),(INDIRECT("'"&amp;$B18&amp;"'!$A$29:$A$45"))),2,0),0)),(IFERROR(VLOOKUP(IFERROR(LOOKUP(2,1/((INDIRECT("'"&amp;$B18&amp;"'!$D$29:$D$45"))&lt;&gt;""),(INDIRECT("'"&amp;$B18&amp;"'!$D$29:$D$45"))),"NO DISPONIBLE"),CHOOSE({1,2},(INDIRECT("'"&amp;$B18&amp;"'!$D$29:$D$45")),(INDIRECT("'"&amp;$B18&amp;"'!$A$29:$A$45"))),2,0),0)),(IFERROR(VLOOKUP(IFERROR(LOOKUP(2,1/((INDIRECT("'"&amp;$B18&amp;"'!$C$29:$C$45"))&lt;&gt;""),(INDIRECT("'"&amp;$B18&amp;"'!$C$29:$C$45"))),"NO DISPONIBLE"),CHOOSE({1,2},(INDIRECT("'"&amp;$B18&amp;"'!$C$29:$C$45")),(INDIRECT("'"&amp;$B18&amp;"'!$A$29:$A$45"))),2,0),0)))</f>
        <v>0</v>
      </c>
      <c r="AA18" s="6" t="s">
        <v>70</v>
      </c>
      <c r="AB18" s="7" t="str" cm="1">
        <f t="array" aca="1" ref="AB18" ca="1">IF((IFERROR(VLOOKUP(IFERROR(LOOKUP(2,1/((INDIRECT("'"&amp;$B18&amp;"'!$C$29:$C$45"))&lt;&gt;""),(INDIRECT("'"&amp;$B18&amp;"'!$C$29:$C$45"))),"NO DISPONIBLE"),CHOOSE({1,2},(INDIRECT("'"&amp;$B18&amp;"'!$C$29:$C$45")),(INDIRECT("'"&amp;$B18&amp;"'!$A$29:$A$45"))),2,0),0))&gt;(IFERROR(VLOOKUP(IFERROR(LOOKUP(2,1/((INDIRECT("'"&amp;$B18&amp;"'!$D$29:$D$45"))&lt;&gt;""),(INDIRECT("'"&amp;$B18&amp;"'!$D$29:$D$45"))),"NO DISPONIBLE"),CHOOSE({1,2},(INDIRECT("'"&amp;$B18&amp;"'!$D$29:$D$45")),(INDIRECT("'"&amp;$B18&amp;"'!$A$29:$A$45"))),2,0),0)),IFERROR(LOOKUP(2,1/((INDIRECT("'"&amp;$B18&amp;"'!$C$29:$C$45"))&lt;&gt;""),(INDIRECT("'"&amp;$B18&amp;"'!$C$29:$C$45"))),"NO DISPONIBLE"),IFERROR(LOOKUP(2,1/((INDIRECT("'"&amp;$B18&amp;"'!$D$29:$D$45"))&lt;&gt;""),(INDIRECT("'"&amp;$B18&amp;"'!$D$29:$D$45"))),"NO DISPONIBLE"))</f>
        <v>NO DISPONIBLE</v>
      </c>
      <c r="AC18" s="6" t="s">
        <v>82</v>
      </c>
      <c r="AD18" s="8"/>
    </row>
    <row r="19" spans="1:30" x14ac:dyDescent="0.3">
      <c r="A19" s="2" t="s">
        <v>34</v>
      </c>
      <c r="B19" s="2" t="str" cm="1">
        <f t="array" aca="1" ref="B19" ca="1">INDIRECT("'"&amp;$B19&amp;"'!$A$6")</f>
        <v xml:space="preserve">MULTÍMETRO DIGITAL </v>
      </c>
      <c r="C19" s="3" t="str" cm="1">
        <f t="array" aca="1" ref="C19" ca="1">INDIRECT("'"&amp;$B19&amp;"'!$G$14")</f>
        <v>UNI-T</v>
      </c>
      <c r="D19" s="3" t="str" cm="1">
        <f t="array" aca="1" ref="D19" ca="1">INDIRECT("'"&amp;$B19&amp;"'!$G$15")</f>
        <v>UT151C</v>
      </c>
      <c r="E19" s="24" t="str" cm="1">
        <f t="array" aca="1" ref="E19" ca="1">INDIRECT("'"&amp;$B19&amp;"'!$G$16")</f>
        <v>C200911708</v>
      </c>
      <c r="F19" s="3" t="s">
        <v>65</v>
      </c>
      <c r="G19" s="3" t="s">
        <v>67</v>
      </c>
      <c r="H19" s="3" t="str" cm="1">
        <f t="array" aca="1" ref="H19" ca="1">INDIRECT("'"&amp;$B19&amp;"'!$G$11")</f>
        <v xml:space="preserve">ELÉCTRICAS </v>
      </c>
      <c r="I19" s="3" t="str" cm="1">
        <f t="array" aca="1" ref="I19" ca="1">INDIRECT("'"&amp;$B19&amp;"'!$C$11")</f>
        <v>ALTA</v>
      </c>
      <c r="J19" s="3" t="str" cm="1">
        <f t="array" aca="1" ref="J19" ca="1">INDIRECT("'"&amp;$B19&amp;"'!$G$21")</f>
        <v>600 V</v>
      </c>
      <c r="K19" s="3" t="str" cm="1">
        <f t="array" aca="1" ref="K19" ca="1">INDIRECT("'"&amp;$B19&amp;"'!$G$22")</f>
        <v>N/A</v>
      </c>
      <c r="L19" s="3" t="str" cm="1">
        <f t="array" aca="1" ref="L19" ca="1">INDIRECT("'"&amp;$B19&amp;"'!$G$23")</f>
        <v>0,1 V</v>
      </c>
      <c r="M19" s="4"/>
      <c r="N19" s="3" t="str" cm="1">
        <f t="array" aca="1" ref="N19" ca="1">INDIRECT("'"&amp;$B19&amp;"'!$G$22")</f>
        <v>N/A</v>
      </c>
      <c r="O19" s="3"/>
      <c r="P19" s="7" t="str" cm="1">
        <f t="array" aca="1" ref="P19" ca="1">IFERROR(LOOKUP(2,1/((INDIRECT("'"&amp;$B19&amp;"'!$G$29:$G$45"))&lt;&gt;""),(INDIRECT("'"&amp;$B19&amp;"'!$G$29:$G$45"))),"NO DISPONIBLE")</f>
        <v>FUNCIONAL</v>
      </c>
      <c r="Q19" s="3" t="s">
        <v>69</v>
      </c>
      <c r="R19" s="5" cm="1">
        <f t="array" aca="1" ref="R19" ca="1">IF(IF(MAX((IFERROR((ROW(INDIRECT("'"&amp;$B19&amp;"'!$F$29:$F$45"))-ROW(INDIRECT("'"&amp;$B19&amp;"'!$F$29"))+1)/--(IF(INDIRECT("'"&amp;$B19&amp;"'!$F$29:$F$45")&lt;&gt;"",1,0)),0))-(IFERROR((ROW(INDIRECT("'"&amp;$B19&amp;"'!$F$29:$F$45"))-ROW(INDIRECT("'"&amp;$B19&amp;"'!$F$29"))+1)/--(FIND("VERIFICACIÓN: ", INDIRECT("'"&amp;$B19&amp;"'!$F$29:$F$45"))),0)))&lt;&gt;0,INDEX(INDIRECT("'"&amp;$B19&amp;"'!$A$29:$G$45"),MAX((IFERROR((ROW(INDIRECT("'"&amp;$B19&amp;"'!$F$29:$F$45"))-ROW(INDIRECT("'"&amp;$B19&amp;"'!$F$29"))+1)/--(IF(INDIRECT("'"&amp;$B19&amp;"'!$F$29:$F$45")&lt;&gt;"",1,0)),0))-(IFERROR((ROW(INDIRECT("'"&amp;$B19&amp;"'!$F$29:$F$45"))-ROW(INDIRECT("'"&amp;$B19&amp;"'!$F$29"))+1)/--(FIND("VERIFICACIÓN: ", INDIRECT("'"&amp;$B19&amp;"'!$F$29:$F$45"))),0))),1),0)&gt;IF(MAX(IFERROR((_xlfn._xlws.FILTER((ROW(INDIRECT("'"&amp;$B19&amp;"'!$E$29:$E$45"))-ROW(INDIRECT("'"&amp;$B19&amp;"'!$E$29"))+1)/--(IF(INDIRECT("'"&amp;$B19&amp;"'!$E$29:$E$45")&lt;&gt;"",1,0)), NOT(ISNUMBER(MATCH((ROW(INDIRECT("'"&amp;$B19&amp;"'!$E$29:$E$45"))-ROW(INDIRECT("'"&amp;$B19&amp;"'!$E$29"))+1)/--(IF(INDIRECT("'"&amp;$B19&amp;"'!$E$29:$E$45")&lt;&gt;"",1,0)), (ROW(INDIRECT("'"&amp;$B19&amp;"'!$E$29:$E$45"))-ROW(INDIRECT("'"&amp;$B19&amp;"'!$E$29"))+1)/--(FIND("VERIFICACIÓN: ", INDIRECT("'"&amp;$B19&amp;"'!$E$29:$E$45"))), 0))))),0))&lt;&gt;0,INDEX(INDIRECT("'"&amp;$B19&amp;"'!$A$29:$G$45"),MAX((IFERROR((ROW(INDIRECT("'"&amp;$B19&amp;"'!$E$29:$E$45"))-ROW(INDIRECT("'"&amp;$B19&amp;"'!$E$29"))+1)/--(IF(INDIRECT("'"&amp;$B19&amp;"'!$E$29:$E$45")&lt;&gt;"",1,0)),0))-(IFERROR((ROW(INDIRECT("'"&amp;$B19&amp;"'!$E$29:$E$45"))-ROW(INDIRECT("'"&amp;$B19&amp;"'!$E$29"))+1)/--(FIND("VERIFICACIÓN: ", INDIRECT("'"&amp;$B19&amp;"'!$E$29:$E$45"))),0))),1),0),IF(MAX((IFERROR((ROW(INDIRECT("'"&amp;$B19&amp;"'!$F$29:$F$45"))-ROW(INDIRECT("'"&amp;$B19&amp;"'!$F$29"))+1)/--(IF(INDIRECT("'"&amp;$B19&amp;"'!$F$29:$F$45")&lt;&gt;"",1,0)),0))-(IFERROR((ROW(INDIRECT("'"&amp;$B19&amp;"'!$F$29:$F$45"))-ROW(INDIRECT("'"&amp;$B19&amp;"'!$F$29"))+1)/--(FIND("VERIFICACIÓN: ", INDIRECT("'"&amp;$B19&amp;"'!$F$29:$F$45"))),0)))&lt;&gt;0,INDEX(INDIRECT("'"&amp;$B19&amp;"'!$A$29:$G$45"),MAX((IFERROR((ROW(INDIRECT("'"&amp;$B19&amp;"'!$F$29:$F$45"))-ROW(INDIRECT("'"&amp;$B19&amp;"'!$F$29"))+1)/--(IF(INDIRECT("'"&amp;$B19&amp;"'!$F$29:$F$45")&lt;&gt;"",1,0)),0))-(IFERROR((ROW(INDIRECT("'"&amp;$B19&amp;"'!$F$29:$F$45"))-ROW(INDIRECT("'"&amp;$B19&amp;"'!$F$29"))+1)/--(FIND("VERIFICACIÓN: ", INDIRECT("'"&amp;$B19&amp;"'!$F$29:$F$45"))),0))),1),0),IF(MAX(IFERROR((_xlfn._xlws.FILTER((ROW(INDIRECT("'"&amp;$B19&amp;"'!$E$29:$E$45"))-ROW(INDIRECT("'"&amp;$B19&amp;"'!$E$29"))+1)/--(IF(INDIRECT("'"&amp;$B19&amp;"'!$E$29:$E$45")&lt;&gt;"",1,0)), NOT(ISNUMBER(MATCH((ROW(INDIRECT("'"&amp;$B19&amp;"'!$E$29:$E$45"))-ROW(INDIRECT("'"&amp;$B19&amp;"'!$E$29"))+1)/--(IF(INDIRECT("'"&amp;$B19&amp;"'!$E$29:$E$45")&lt;&gt;"",1,0)), (ROW(INDIRECT("'"&amp;$B19&amp;"'!$E$29:$E$45"))-ROW(INDIRECT("'"&amp;$B19&amp;"'!$E$29"))+1)/--(FIND("VERIFICACIÓN: ", INDIRECT("'"&amp;$B19&amp;"'!$E$29:$E$45"))), 0))))),0))&lt;&gt;0,INDEX(INDIRECT("'"&amp;$B19&amp;"'!$A$29:$G$45"),MAX((IFERROR((ROW(INDIRECT("'"&amp;$B19&amp;"'!$E$29:$E$45"))-ROW(INDIRECT("'"&amp;$B19&amp;"'!$E$29"))+1)/--(IF(INDIRECT("'"&amp;$B19&amp;"'!$E$29:$E$45")&lt;&gt;"",1,0)),0))-(IFERROR((ROW(INDIRECT("'"&amp;$B19&amp;"'!$E$29:$E$45"))-ROW(INDIRECT("'"&amp;$B19&amp;"'!$E$29"))+1)/--(FIND("VERIFICACIÓN: ", INDIRECT("'"&amp;$B19&amp;"'!$E$29:$E$45"))),0))),1),0))</f>
        <v>45636</v>
      </c>
      <c r="S19" s="6" t="s">
        <v>70</v>
      </c>
      <c r="T19" s="7" t="str" cm="1">
        <f t="array" aca="1" ref="T19" ca="1">IF(IF(MAX((IFERROR((ROW(INDIRECT("'"&amp;$B19&amp;"'!$F$29:$F$45"))-ROW(INDIRECT("'"&amp;$B19&amp;"'!$F$29"))+1)/--(IF(INDIRECT("'"&amp;$B19&amp;"'!$F$29:$F$45")&lt;&gt;"",1,0)),0))-(IFERROR((ROW(INDIRECT("'"&amp;$B19&amp;"'!$F$29:$F$45"))-ROW(INDIRECT("'"&amp;$B19&amp;"'!$F$29"))+1)/--(FIND("VERIFICACIÓN: ", INDIRECT("'"&amp;$B19&amp;"'!$F$29:$F$45"))),0)))&lt;&gt;0,INDEX(INDIRECT("'"&amp;$B19&amp;"'!$A$29:$G$45"),MAX((IFERROR((ROW(INDIRECT("'"&amp;$B19&amp;"'!$F$29:$F$45"))-ROW(INDIRECT("'"&amp;$B19&amp;"'!$F$29"))+1)/--(IF(INDIRECT("'"&amp;$B19&amp;"'!$F$29:$F$45")&lt;&gt;"",1,0)),0))-(IFERROR((ROW(INDIRECT("'"&amp;$B19&amp;"'!$F$29:$F$45"))-ROW(INDIRECT("'"&amp;$B19&amp;"'!$F$29"))+1)/--(FIND("VERIFICACIÓN: ", INDIRECT("'"&amp;$B19&amp;"'!$F$29:$F$45"))),0))),1),0)&gt;IF(MAX(IFERROR((_xlfn._xlws.FILTER((ROW(INDIRECT("'"&amp;$B19&amp;"'!$E$29:$E$45"))-ROW(INDIRECT("'"&amp;$B19&amp;"'!$E$29"))+1)/--(IF(INDIRECT("'"&amp;$B19&amp;"'!$E$29:$E$45")&lt;&gt;"",1,0)), NOT(ISNUMBER(MATCH((ROW(INDIRECT("'"&amp;$B19&amp;"'!$E$29:$E$45"))-ROW(INDIRECT("'"&amp;$B19&amp;"'!$E$29"))+1)/--(IF(INDIRECT("'"&amp;$B19&amp;"'!$E$29:$E$45")&lt;&gt;"",1,0)), (ROW(INDIRECT("'"&amp;$B19&amp;"'!$E$29:$E$45"))-ROW(INDIRECT("'"&amp;$B19&amp;"'!$E$29"))+1)/--(FIND("VERIFICACIÓN: ", INDIRECT("'"&amp;$B19&amp;"'!$E$29:$E$45"))), 0))))),0))&lt;&gt;0,INDEX(INDIRECT("'"&amp;$B19&amp;"'!$A$29:$G$45"),MAX((IFERROR((ROW(INDIRECT("'"&amp;$B19&amp;"'!$E$29:$E$45"))-ROW(INDIRECT("'"&amp;$B19&amp;"'!$E$29"))+1)/--(IF(INDIRECT("'"&amp;$B19&amp;"'!$E$29:$E$45")&lt;&gt;"",1,0)),0))-(IFERROR((ROW(INDIRECT("'"&amp;$B19&amp;"'!$E$29:$E$45"))-ROW(INDIRECT("'"&amp;$B19&amp;"'!$E$29"))+1)/--(FIND("VERIFICACIÓN: ", INDIRECT("'"&amp;$B19&amp;"'!$E$29:$E$45"))),0))),1),0),IF(MAX((IFERROR((ROW(INDIRECT("'"&amp;$B19&amp;"'!$F$29:$F$45"))-ROW(INDIRECT("'"&amp;$B19&amp;"'!$F$29"))+1)/--(IF(INDIRECT("'"&amp;$B19&amp;"'!$F$29:$F$45")&lt;&gt;"",1,0)),0))-(IFERROR((ROW(INDIRECT("'"&amp;$B19&amp;"'!$F$29:$F$45"))-ROW(INDIRECT("'"&amp;$B19&amp;"'!$F$29"))+1)/--(FIND("VERIFICACIÓN: ", INDIRECT("'"&amp;$B19&amp;"'!$F$29:$F$45"))),0)))&lt;&gt;0,INDEX(INDIRECT("'"&amp;$B19&amp;"'!$A$29:$G$45"),MAX((IFERROR((ROW(INDIRECT("'"&amp;$B19&amp;"'!$F$29:$F$45"))-ROW(INDIRECT("'"&amp;$B19&amp;"'!$F$29"))+1)/--(IF(INDIRECT("'"&amp;$B19&amp;"'!$F$29:$F$45")&lt;&gt;"",1,0)),0))-(IFERROR((ROW(INDIRECT("'"&amp;$B19&amp;"'!$F$29:$F$45"))-ROW(INDIRECT("'"&amp;$B19&amp;"'!$F$29"))+1)/--(FIND("VERIFICACIÓN: ", INDIRECT("'"&amp;$B19&amp;"'!$F$29:$F$45"))),0))),6),"NO DISPONIBLE"),IF(MAX(IFERROR((_xlfn._xlws.FILTER((ROW(INDIRECT("'"&amp;$B19&amp;"'!$E$29:$E$45"))-ROW(INDIRECT("'"&amp;$B19&amp;"'!$E$29"))+1)/--(IF(INDIRECT("'"&amp;$B19&amp;"'!$E$29:$E$45")&lt;&gt;"",1,0)), NOT(ISNUMBER(MATCH((ROW(INDIRECT("'"&amp;$B19&amp;"'!$E$29:$E$45"))-ROW(INDIRECT("'"&amp;$B19&amp;"'!$E$29"))+1)/--(IF(INDIRECT("'"&amp;$B19&amp;"'!$E$29:$E$45")&lt;&gt;"",1,0)), (ROW(INDIRECT("'"&amp;$B19&amp;"'!$E$29:$E$45"))-ROW(INDIRECT("'"&amp;$B19&amp;"'!$E$29"))+1)/--(FIND("VERIFICACIÓN: ", INDIRECT("'"&amp;$B19&amp;"'!$E$29:$E$45"))), 0))))),0))&lt;&gt;0,INDEX(INDIRECT("'"&amp;$B19&amp;"'!$A$29:$G$45"),MAX((IFERROR((ROW(INDIRECT("'"&amp;$B19&amp;"'!$E$29:$E$45"))-ROW(INDIRECT("'"&amp;$B19&amp;"'!$E$29"))+1)/--(IF(INDIRECT("'"&amp;$B19&amp;"'!$E$29:$E$45")&lt;&gt;"",1,0)),0))-(IFERROR((ROW(INDIRECT("'"&amp;$B19&amp;"'!$E$29:$E$45"))-ROW(INDIRECT("'"&amp;$B19&amp;"'!$E$29"))+1)/--(FIND("VERIFICACIÓN: ", INDIRECT("'"&amp;$B19&amp;"'!$E$29:$E$45"))),0))),5),"NO DISPONIBLE"))</f>
        <v>MJM</v>
      </c>
      <c r="U19" s="3">
        <v>6</v>
      </c>
      <c r="V19" s="5" cm="1">
        <f t="array" aca="1" ref="V19" ca="1">IF((IFERROR(VLOOKUP(IFERROR(LOOKUP(2,1/((INDIRECT("'"&amp;$B19&amp;"'!$F$29:$F$45"))&lt;&gt;""),(INDIRECT("'"&amp;$B19&amp;"'!$F$29:$F$45"))),"NO DISPONIBLE"),CHOOSE({1,2},(INDIRECT("'"&amp;$B19&amp;"'!$F$29:$F$45")),(INDIRECT("'"&amp;$B19&amp;"'!$A$29:$A$45"))),2,0),0))&gt;(IFERROR(VLOOKUP(IFERROR(LOOKUP(2,1/((INDIRECT("'"&amp;$B19&amp;"'!$E$29:$E$45"))&lt;&gt;""),(INDIRECT("'"&amp;$B19&amp;"'!$E$29:$E$45"))),"NO DISPONIBLE"),CHOOSE({1,2},(INDIRECT("'"&amp;$B19&amp;"'!$E$29:$E$45")),(INDIRECT("'"&amp;$B19&amp;"'!$A$29:$A$45"))),2,0),0)),(IFERROR(VLOOKUP(IFERROR(LOOKUP(2,1/((INDIRECT("'"&amp;$B19&amp;"'!$F$29:$F$45"))&lt;&gt;""),(INDIRECT("'"&amp;$B19&amp;"'!$F$29:$F$45"))),"NO DISPONIBLE"),CHOOSE({1,2},(INDIRECT("'"&amp;$B19&amp;"'!$F$29:$F$45")),(INDIRECT("'"&amp;$B19&amp;"'!$A$29:$A$45"))),2,0),0)),(IFERROR(VLOOKUP(IFERROR(LOOKUP(2,1/((INDIRECT("'"&amp;$B19&amp;"'!$E$29:$E$45"))&lt;&gt;""),(INDIRECT("'"&amp;$B19&amp;"'!$E$29:$E$45"))),"NO DISPONIBLE"),CHOOSE({1,2},(INDIRECT("'"&amp;$B19&amp;"'!$E$29:$E$45")),(INDIRECT("'"&amp;$B19&amp;"'!$A$29:$A$45"))),2,0),0)))</f>
        <v>45636</v>
      </c>
      <c r="W19" s="6" t="s">
        <v>71</v>
      </c>
      <c r="X19" s="7" t="str" cm="1">
        <f t="array" aca="1" ref="X19" ca="1">IF((IFERROR(VLOOKUP(IFERROR(LOOKUP(2,1/((INDIRECT("'"&amp;$B19&amp;"'!$E$29:$E$45"))&lt;&gt;""),(INDIRECT("'"&amp;$B19&amp;"'!$E$29:$E$45"))),"NO DISPONIBLE"),CHOOSE({1,2},(INDIRECT("'"&amp;$B19&amp;"'!$E$29:$E$45")),(INDIRECT("'"&amp;$B19&amp;"'!$A$29:$A$45"))),2,0),0))&gt;(IFERROR(VLOOKUP(IFERROR(LOOKUP(2,1/((INDIRECT("'"&amp;$B19&amp;"'!$F$29:$F$45"))&lt;&gt;""),(INDIRECT("'"&amp;$B19&amp;"'!$F$29:$F$45"))),"NO DISPONIBLE"),CHOOSE({1,2},(INDIRECT("'"&amp;$B19&amp;"'!$F$29:$F$45")),(INDIRECT("'"&amp;$B19&amp;"'!$A$29:$A$45"))),2,0),0)),IFERROR(LOOKUP(2,1/((INDIRECT("'"&amp;$B19&amp;"'!$E$29:$E$45"))&lt;&gt;""),(INDIRECT("'"&amp;$B19&amp;"'!$E$29:$E$45"))),"NO DISPONIBLE"),IFERROR(LOOKUP(2,1/((INDIRECT("'"&amp;$B19&amp;"'!$F$29:$F$45"))&lt;&gt;""),(INDIRECT("'"&amp;$B19&amp;"'!$F$29:$F$45"))),"NO DISPONIBLE"))</f>
        <v>MJM</v>
      </c>
      <c r="Y19" s="3" t="s">
        <v>69</v>
      </c>
      <c r="Z19" s="5" cm="1">
        <f t="array" aca="1" ref="Z19" ca="1">IF((IFERROR(VLOOKUP(IFERROR(LOOKUP(2,1/((INDIRECT("'"&amp;$B19&amp;"'!$D$29:$D$45"))&lt;&gt;""),(INDIRECT("'"&amp;$B19&amp;"'!$D$29:$D$45"))),"NO DISPONIBLE"),CHOOSE({1,2},(INDIRECT("'"&amp;$B19&amp;"'!$D$29:$D$45")),(INDIRECT("'"&amp;$B19&amp;"'!$A$29:$A$45"))),2,0),0))&gt;(IFERROR(VLOOKUP(IFERROR(LOOKUP(2,1/((INDIRECT("'"&amp;$B19&amp;"'!$C$29:$C$45"))&lt;&gt;""),(INDIRECT("'"&amp;$B19&amp;"'!$C$29:$C$45"))),"NO DISPONIBLE"),CHOOSE({1,2},(INDIRECT("'"&amp;$B19&amp;"'!$C$29:$C$45")),(INDIRECT("'"&amp;$B19&amp;"'!$A$29:$A$45"))),2,0),0)),(IFERROR(VLOOKUP(IFERROR(LOOKUP(2,1/((INDIRECT("'"&amp;$B19&amp;"'!$D$29:$D$45"))&lt;&gt;""),(INDIRECT("'"&amp;$B19&amp;"'!$D$29:$D$45"))),"NO DISPONIBLE"),CHOOSE({1,2},(INDIRECT("'"&amp;$B19&amp;"'!$D$29:$D$45")),(INDIRECT("'"&amp;$B19&amp;"'!$A$29:$A$45"))),2,0),0)),(IFERROR(VLOOKUP(IFERROR(LOOKUP(2,1/((INDIRECT("'"&amp;$B19&amp;"'!$C$29:$C$45"))&lt;&gt;""),(INDIRECT("'"&amp;$B19&amp;"'!$C$29:$C$45"))),"NO DISPONIBLE"),CHOOSE({1,2},(INDIRECT("'"&amp;$B19&amp;"'!$C$29:$C$45")),(INDIRECT("'"&amp;$B19&amp;"'!$A$29:$A$45"))),2,0),0)))</f>
        <v>45636</v>
      </c>
      <c r="AA19" s="6" t="s">
        <v>70</v>
      </c>
      <c r="AB19" s="7" t="str" cm="1">
        <f t="array" aca="1" ref="AB19" ca="1">IF((IFERROR(VLOOKUP(IFERROR(LOOKUP(2,1/((INDIRECT("'"&amp;$B19&amp;"'!$C$29:$C$45"))&lt;&gt;""),(INDIRECT("'"&amp;$B19&amp;"'!$C$29:$C$45"))),"NO DISPONIBLE"),CHOOSE({1,2},(INDIRECT("'"&amp;$B19&amp;"'!$C$29:$C$45")),(INDIRECT("'"&amp;$B19&amp;"'!$A$29:$A$45"))),2,0),0))&gt;(IFERROR(VLOOKUP(IFERROR(LOOKUP(2,1/((INDIRECT("'"&amp;$B19&amp;"'!$D$29:$D$45"))&lt;&gt;""),(INDIRECT("'"&amp;$B19&amp;"'!$D$29:$D$45"))),"NO DISPONIBLE"),CHOOSE({1,2},(INDIRECT("'"&amp;$B19&amp;"'!$D$29:$D$45")),(INDIRECT("'"&amp;$B19&amp;"'!$A$29:$A$45"))),2,0),0)),IFERROR(LOOKUP(2,1/((INDIRECT("'"&amp;$B19&amp;"'!$C$29:$C$45"))&lt;&gt;""),(INDIRECT("'"&amp;$B19&amp;"'!$C$29:$C$45"))),"NO DISPONIBLE"),IFERROR(LOOKUP(2,1/((INDIRECT("'"&amp;$B19&amp;"'!$D$29:$D$45"))&lt;&gt;""),(INDIRECT("'"&amp;$B19&amp;"'!$D$29:$D$45"))),"NO DISPONIBLE"))</f>
        <v>MJM</v>
      </c>
      <c r="AC19" s="6" t="s">
        <v>82</v>
      </c>
      <c r="AD19" s="8"/>
    </row>
    <row r="20" spans="1:30" x14ac:dyDescent="0.3">
      <c r="A20" s="2" t="s">
        <v>35</v>
      </c>
      <c r="B20" s="2" t="str" cm="1">
        <f t="array" aca="1" ref="B20" ca="1">INDIRECT("'"&amp;$B20&amp;"'!$A$6")</f>
        <v>INCLINÓMETRO</v>
      </c>
      <c r="C20" s="3" t="str" cm="1">
        <f t="array" aca="1" ref="C20" ca="1">INDIRECT("'"&amp;$B20&amp;"'!$G$14")</f>
        <v>SKETCH MAP</v>
      </c>
      <c r="D20" s="3" t="str" cm="1">
        <f t="array" aca="1" ref="D20" ca="1">INDIRECT("'"&amp;$B20&amp;"'!$G$15")</f>
        <v>NO PORTA</v>
      </c>
      <c r="E20" s="24" cm="1">
        <f t="array" aca="1" ref="E20" ca="1">INDIRECT("'"&amp;$B20&amp;"'!$G$16")</f>
        <v>710205887538</v>
      </c>
      <c r="F20" s="3" t="s">
        <v>66</v>
      </c>
      <c r="G20" s="3" t="s">
        <v>67</v>
      </c>
      <c r="H20" s="3" t="str" cm="1">
        <f t="array" aca="1" ref="H20" ca="1">INDIRECT("'"&amp;$B20&amp;"'!$G$11")</f>
        <v>LONGITUD</v>
      </c>
      <c r="I20" s="3" t="str" cm="1">
        <f t="array" aca="1" ref="I20" ca="1">INDIRECT("'"&amp;$B20&amp;"'!$C$11")</f>
        <v>BAJA</v>
      </c>
      <c r="J20" s="3" t="str" cm="1">
        <f t="array" aca="1" ref="J20" ca="1">INDIRECT("'"&amp;$B20&amp;"'!$G$21")</f>
        <v>90 °</v>
      </c>
      <c r="K20" s="3" t="str" cm="1">
        <f t="array" aca="1" ref="K20" ca="1">INDIRECT("'"&amp;$B20&amp;"'!$G$22")</f>
        <v>0°</v>
      </c>
      <c r="L20" s="3" t="str" cm="1">
        <f t="array" aca="1" ref="L20" ca="1">INDIRECT("'"&amp;$B20&amp;"'!$G$23")</f>
        <v>1°</v>
      </c>
      <c r="M20" s="4"/>
      <c r="N20" s="3" t="str" cm="1">
        <f t="array" aca="1" ref="N20" ca="1">INDIRECT("'"&amp;$B20&amp;"'!$G$22")</f>
        <v>0°</v>
      </c>
      <c r="O20" s="3"/>
      <c r="P20" s="7" t="str" cm="1">
        <f t="array" aca="1" ref="P20" ca="1">IFERROR(LOOKUP(2,1/((INDIRECT("'"&amp;$B20&amp;"'!$G$29:$G$45"))&lt;&gt;""),(INDIRECT("'"&amp;$B20&amp;"'!$G$29:$G$45"))),"NO DISPONIBLE")</f>
        <v>FUNCIONAL</v>
      </c>
      <c r="Q20" s="3" t="s">
        <v>69</v>
      </c>
      <c r="R20" s="5" cm="1">
        <f t="array" aca="1" ref="R20" ca="1">IF(IF(MAX((IFERROR((ROW(INDIRECT("'"&amp;$B20&amp;"'!$F$29:$F$45"))-ROW(INDIRECT("'"&amp;$B20&amp;"'!$F$29"))+1)/--(IF(INDIRECT("'"&amp;$B20&amp;"'!$F$29:$F$45")&lt;&gt;"",1,0)),0))-(IFERROR((ROW(INDIRECT("'"&amp;$B20&amp;"'!$F$29:$F$45"))-ROW(INDIRECT("'"&amp;$B20&amp;"'!$F$29"))+1)/--(FIND("VERIFICACIÓN: ", INDIRECT("'"&amp;$B20&amp;"'!$F$29:$F$45"))),0)))&lt;&gt;0,INDEX(INDIRECT("'"&amp;$B20&amp;"'!$A$29:$G$45"),MAX((IFERROR((ROW(INDIRECT("'"&amp;$B20&amp;"'!$F$29:$F$45"))-ROW(INDIRECT("'"&amp;$B20&amp;"'!$F$29"))+1)/--(IF(INDIRECT("'"&amp;$B20&amp;"'!$F$29:$F$45")&lt;&gt;"",1,0)),0))-(IFERROR((ROW(INDIRECT("'"&amp;$B20&amp;"'!$F$29:$F$45"))-ROW(INDIRECT("'"&amp;$B20&amp;"'!$F$29"))+1)/--(FIND("VERIFICACIÓN: ", INDIRECT("'"&amp;$B20&amp;"'!$F$29:$F$45"))),0))),1),0)&gt;IF(MAX(IFERROR((_xlfn._xlws.FILTER((ROW(INDIRECT("'"&amp;$B20&amp;"'!$E$29:$E$45"))-ROW(INDIRECT("'"&amp;$B20&amp;"'!$E$29"))+1)/--(IF(INDIRECT("'"&amp;$B20&amp;"'!$E$29:$E$45")&lt;&gt;"",1,0)), NOT(ISNUMBER(MATCH((ROW(INDIRECT("'"&amp;$B20&amp;"'!$E$29:$E$45"))-ROW(INDIRECT("'"&amp;$B20&amp;"'!$E$29"))+1)/--(IF(INDIRECT("'"&amp;$B20&amp;"'!$E$29:$E$45")&lt;&gt;"",1,0)), (ROW(INDIRECT("'"&amp;$B20&amp;"'!$E$29:$E$45"))-ROW(INDIRECT("'"&amp;$B20&amp;"'!$E$29"))+1)/--(FIND("VERIFICACIÓN: ", INDIRECT("'"&amp;$B20&amp;"'!$E$29:$E$45"))), 0))))),0))&lt;&gt;0,INDEX(INDIRECT("'"&amp;$B20&amp;"'!$A$29:$G$45"),MAX((IFERROR((ROW(INDIRECT("'"&amp;$B20&amp;"'!$E$29:$E$45"))-ROW(INDIRECT("'"&amp;$B20&amp;"'!$E$29"))+1)/--(IF(INDIRECT("'"&amp;$B20&amp;"'!$E$29:$E$45")&lt;&gt;"",1,0)),0))-(IFERROR((ROW(INDIRECT("'"&amp;$B20&amp;"'!$E$29:$E$45"))-ROW(INDIRECT("'"&amp;$B20&amp;"'!$E$29"))+1)/--(FIND("VERIFICACIÓN: ", INDIRECT("'"&amp;$B20&amp;"'!$E$29:$E$45"))),0))),1),0),IF(MAX((IFERROR((ROW(INDIRECT("'"&amp;$B20&amp;"'!$F$29:$F$45"))-ROW(INDIRECT("'"&amp;$B20&amp;"'!$F$29"))+1)/--(IF(INDIRECT("'"&amp;$B20&amp;"'!$F$29:$F$45")&lt;&gt;"",1,0)),0))-(IFERROR((ROW(INDIRECT("'"&amp;$B20&amp;"'!$F$29:$F$45"))-ROW(INDIRECT("'"&amp;$B20&amp;"'!$F$29"))+1)/--(FIND("VERIFICACIÓN: ", INDIRECT("'"&amp;$B20&amp;"'!$F$29:$F$45"))),0)))&lt;&gt;0,INDEX(INDIRECT("'"&amp;$B20&amp;"'!$A$29:$G$45"),MAX((IFERROR((ROW(INDIRECT("'"&amp;$B20&amp;"'!$F$29:$F$45"))-ROW(INDIRECT("'"&amp;$B20&amp;"'!$F$29"))+1)/--(IF(INDIRECT("'"&amp;$B20&amp;"'!$F$29:$F$45")&lt;&gt;"",1,0)),0))-(IFERROR((ROW(INDIRECT("'"&amp;$B20&amp;"'!$F$29:$F$45"))-ROW(INDIRECT("'"&amp;$B20&amp;"'!$F$29"))+1)/--(FIND("VERIFICACIÓN: ", INDIRECT("'"&amp;$B20&amp;"'!$F$29:$F$45"))),0))),1),0),IF(MAX(IFERROR((_xlfn._xlws.FILTER((ROW(INDIRECT("'"&amp;$B20&amp;"'!$E$29:$E$45"))-ROW(INDIRECT("'"&amp;$B20&amp;"'!$E$29"))+1)/--(IF(INDIRECT("'"&amp;$B20&amp;"'!$E$29:$E$45")&lt;&gt;"",1,0)), NOT(ISNUMBER(MATCH((ROW(INDIRECT("'"&amp;$B20&amp;"'!$E$29:$E$45"))-ROW(INDIRECT("'"&amp;$B20&amp;"'!$E$29"))+1)/--(IF(INDIRECT("'"&amp;$B20&amp;"'!$E$29:$E$45")&lt;&gt;"",1,0)), (ROW(INDIRECT("'"&amp;$B20&amp;"'!$E$29:$E$45"))-ROW(INDIRECT("'"&amp;$B20&amp;"'!$E$29"))+1)/--(FIND("VERIFICACIÓN: ", INDIRECT("'"&amp;$B20&amp;"'!$E$29:$E$45"))), 0))))),0))&lt;&gt;0,INDEX(INDIRECT("'"&amp;$B20&amp;"'!$A$29:$G$45"),MAX((IFERROR((ROW(INDIRECT("'"&amp;$B20&amp;"'!$E$29:$E$45"))-ROW(INDIRECT("'"&amp;$B20&amp;"'!$E$29"))+1)/--(IF(INDIRECT("'"&amp;$B20&amp;"'!$E$29:$E$45")&lt;&gt;"",1,0)),0))-(IFERROR((ROW(INDIRECT("'"&amp;$B20&amp;"'!$E$29:$E$45"))-ROW(INDIRECT("'"&amp;$B20&amp;"'!$E$29"))+1)/--(FIND("VERIFICACIÓN: ", INDIRECT("'"&amp;$B20&amp;"'!$E$29:$E$45"))),0))),1),0))</f>
        <v>45632</v>
      </c>
      <c r="S20" s="6" t="s">
        <v>70</v>
      </c>
      <c r="T20" s="7" t="str" cm="1">
        <f t="array" aca="1" ref="T20" ca="1">IF(IF(MAX((IFERROR((ROW(INDIRECT("'"&amp;$B20&amp;"'!$F$29:$F$45"))-ROW(INDIRECT("'"&amp;$B20&amp;"'!$F$29"))+1)/--(IF(INDIRECT("'"&amp;$B20&amp;"'!$F$29:$F$45")&lt;&gt;"",1,0)),0))-(IFERROR((ROW(INDIRECT("'"&amp;$B20&amp;"'!$F$29:$F$45"))-ROW(INDIRECT("'"&amp;$B20&amp;"'!$F$29"))+1)/--(FIND("VERIFICACIÓN: ", INDIRECT("'"&amp;$B20&amp;"'!$F$29:$F$45"))),0)))&lt;&gt;0,INDEX(INDIRECT("'"&amp;$B20&amp;"'!$A$29:$G$45"),MAX((IFERROR((ROW(INDIRECT("'"&amp;$B20&amp;"'!$F$29:$F$45"))-ROW(INDIRECT("'"&amp;$B20&amp;"'!$F$29"))+1)/--(IF(INDIRECT("'"&amp;$B20&amp;"'!$F$29:$F$45")&lt;&gt;"",1,0)),0))-(IFERROR((ROW(INDIRECT("'"&amp;$B20&amp;"'!$F$29:$F$45"))-ROW(INDIRECT("'"&amp;$B20&amp;"'!$F$29"))+1)/--(FIND("VERIFICACIÓN: ", INDIRECT("'"&amp;$B20&amp;"'!$F$29:$F$45"))),0))),1),0)&gt;IF(MAX(IFERROR((_xlfn._xlws.FILTER((ROW(INDIRECT("'"&amp;$B20&amp;"'!$E$29:$E$45"))-ROW(INDIRECT("'"&amp;$B20&amp;"'!$E$29"))+1)/--(IF(INDIRECT("'"&amp;$B20&amp;"'!$E$29:$E$45")&lt;&gt;"",1,0)), NOT(ISNUMBER(MATCH((ROW(INDIRECT("'"&amp;$B20&amp;"'!$E$29:$E$45"))-ROW(INDIRECT("'"&amp;$B20&amp;"'!$E$29"))+1)/--(IF(INDIRECT("'"&amp;$B20&amp;"'!$E$29:$E$45")&lt;&gt;"",1,0)), (ROW(INDIRECT("'"&amp;$B20&amp;"'!$E$29:$E$45"))-ROW(INDIRECT("'"&amp;$B20&amp;"'!$E$29"))+1)/--(FIND("VERIFICACIÓN: ", INDIRECT("'"&amp;$B20&amp;"'!$E$29:$E$45"))), 0))))),0))&lt;&gt;0,INDEX(INDIRECT("'"&amp;$B20&amp;"'!$A$29:$G$45"),MAX((IFERROR((ROW(INDIRECT("'"&amp;$B20&amp;"'!$E$29:$E$45"))-ROW(INDIRECT("'"&amp;$B20&amp;"'!$E$29"))+1)/--(IF(INDIRECT("'"&amp;$B20&amp;"'!$E$29:$E$45")&lt;&gt;"",1,0)),0))-(IFERROR((ROW(INDIRECT("'"&amp;$B20&amp;"'!$E$29:$E$45"))-ROW(INDIRECT("'"&amp;$B20&amp;"'!$E$29"))+1)/--(FIND("VERIFICACIÓN: ", INDIRECT("'"&amp;$B20&amp;"'!$E$29:$E$45"))),0))),1),0),IF(MAX((IFERROR((ROW(INDIRECT("'"&amp;$B20&amp;"'!$F$29:$F$45"))-ROW(INDIRECT("'"&amp;$B20&amp;"'!$F$29"))+1)/--(IF(INDIRECT("'"&amp;$B20&amp;"'!$F$29:$F$45")&lt;&gt;"",1,0)),0))-(IFERROR((ROW(INDIRECT("'"&amp;$B20&amp;"'!$F$29:$F$45"))-ROW(INDIRECT("'"&amp;$B20&amp;"'!$F$29"))+1)/--(FIND("VERIFICACIÓN: ", INDIRECT("'"&amp;$B20&amp;"'!$F$29:$F$45"))),0)))&lt;&gt;0,INDEX(INDIRECT("'"&amp;$B20&amp;"'!$A$29:$G$45"),MAX((IFERROR((ROW(INDIRECT("'"&amp;$B20&amp;"'!$F$29:$F$45"))-ROW(INDIRECT("'"&amp;$B20&amp;"'!$F$29"))+1)/--(IF(INDIRECT("'"&amp;$B20&amp;"'!$F$29:$F$45")&lt;&gt;"",1,0)),0))-(IFERROR((ROW(INDIRECT("'"&amp;$B20&amp;"'!$F$29:$F$45"))-ROW(INDIRECT("'"&amp;$B20&amp;"'!$F$29"))+1)/--(FIND("VERIFICACIÓN: ", INDIRECT("'"&amp;$B20&amp;"'!$F$29:$F$45"))),0))),6),"NO DISPONIBLE"),IF(MAX(IFERROR((_xlfn._xlws.FILTER((ROW(INDIRECT("'"&amp;$B20&amp;"'!$E$29:$E$45"))-ROW(INDIRECT("'"&amp;$B20&amp;"'!$E$29"))+1)/--(IF(INDIRECT("'"&amp;$B20&amp;"'!$E$29:$E$45")&lt;&gt;"",1,0)), NOT(ISNUMBER(MATCH((ROW(INDIRECT("'"&amp;$B20&amp;"'!$E$29:$E$45"))-ROW(INDIRECT("'"&amp;$B20&amp;"'!$E$29"))+1)/--(IF(INDIRECT("'"&amp;$B20&amp;"'!$E$29:$E$45")&lt;&gt;"",1,0)), (ROW(INDIRECT("'"&amp;$B20&amp;"'!$E$29:$E$45"))-ROW(INDIRECT("'"&amp;$B20&amp;"'!$E$29"))+1)/--(FIND("VERIFICACIÓN: ", INDIRECT("'"&amp;$B20&amp;"'!$E$29:$E$45"))), 0))))),0))&lt;&gt;0,INDEX(INDIRECT("'"&amp;$B20&amp;"'!$A$29:$G$45"),MAX((IFERROR((ROW(INDIRECT("'"&amp;$B20&amp;"'!$E$29:$E$45"))-ROW(INDIRECT("'"&amp;$B20&amp;"'!$E$29"))+1)/--(IF(INDIRECT("'"&amp;$B20&amp;"'!$E$29:$E$45")&lt;&gt;"",1,0)),0))-(IFERROR((ROW(INDIRECT("'"&amp;$B20&amp;"'!$E$29:$E$45"))-ROW(INDIRECT("'"&amp;$B20&amp;"'!$E$29"))+1)/--(FIND("VERIFICACIÓN: ", INDIRECT("'"&amp;$B20&amp;"'!$E$29:$E$45"))),0))),5),"NO DISPONIBLE"))</f>
        <v>CALIBRACIÓN 24-SAE-0807D / SAE</v>
      </c>
      <c r="U20" s="3" t="s">
        <v>69</v>
      </c>
      <c r="V20" s="5" cm="1">
        <f t="array" aca="1" ref="V20" ca="1">IF((IFERROR(VLOOKUP(IFERROR(LOOKUP(2,1/((INDIRECT("'"&amp;$B20&amp;"'!$F$29:$F$45"))&lt;&gt;""),(INDIRECT("'"&amp;$B20&amp;"'!$F$29:$F$45"))),"NO DISPONIBLE"),CHOOSE({1,2},(INDIRECT("'"&amp;$B20&amp;"'!$F$29:$F$45")),(INDIRECT("'"&amp;$B20&amp;"'!$A$29:$A$45"))),2,0),0))&gt;(IFERROR(VLOOKUP(IFERROR(LOOKUP(2,1/((INDIRECT("'"&amp;$B20&amp;"'!$E$29:$E$45"))&lt;&gt;""),(INDIRECT("'"&amp;$B20&amp;"'!$E$29:$E$45"))),"NO DISPONIBLE"),CHOOSE({1,2},(INDIRECT("'"&amp;$B20&amp;"'!$E$29:$E$45")),(INDIRECT("'"&amp;$B20&amp;"'!$A$29:$A$45"))),2,0),0)),(IFERROR(VLOOKUP(IFERROR(LOOKUP(2,1/((INDIRECT("'"&amp;$B20&amp;"'!$F$29:$F$45"))&lt;&gt;""),(INDIRECT("'"&amp;$B20&amp;"'!$F$29:$F$45"))),"NO DISPONIBLE"),CHOOSE({1,2},(INDIRECT("'"&amp;$B20&amp;"'!$F$29:$F$45")),(INDIRECT("'"&amp;$B20&amp;"'!$A$29:$A$45"))),2,0),0)),(IFERROR(VLOOKUP(IFERROR(LOOKUP(2,1/((INDIRECT("'"&amp;$B20&amp;"'!$E$29:$E$45"))&lt;&gt;""),(INDIRECT("'"&amp;$B20&amp;"'!$E$29:$E$45"))),"NO DISPONIBLE"),CHOOSE({1,2},(INDIRECT("'"&amp;$B20&amp;"'!$E$29:$E$45")),(INDIRECT("'"&amp;$B20&amp;"'!$A$29:$A$45"))),2,0),0)))</f>
        <v>45632</v>
      </c>
      <c r="W20" s="6" t="s">
        <v>70</v>
      </c>
      <c r="X20" s="7" t="str" cm="1">
        <f t="array" aca="1" ref="X20" ca="1">IF((IFERROR(VLOOKUP(IFERROR(LOOKUP(2,1/((INDIRECT("'"&amp;$B20&amp;"'!$E$29:$E$45"))&lt;&gt;""),(INDIRECT("'"&amp;$B20&amp;"'!$E$29:$E$45"))),"NO DISPONIBLE"),CHOOSE({1,2},(INDIRECT("'"&amp;$B20&amp;"'!$E$29:$E$45")),(INDIRECT("'"&amp;$B20&amp;"'!$A$29:$A$45"))),2,0),0))&gt;(IFERROR(VLOOKUP(IFERROR(LOOKUP(2,1/((INDIRECT("'"&amp;$B20&amp;"'!$F$29:$F$45"))&lt;&gt;""),(INDIRECT("'"&amp;$B20&amp;"'!$F$29:$F$45"))),"NO DISPONIBLE"),CHOOSE({1,2},(INDIRECT("'"&amp;$B20&amp;"'!$F$29:$F$45")),(INDIRECT("'"&amp;$B20&amp;"'!$A$29:$A$45"))),2,0),0)),IFERROR(LOOKUP(2,1/((INDIRECT("'"&amp;$B20&amp;"'!$E$29:$E$45"))&lt;&gt;""),(INDIRECT("'"&amp;$B20&amp;"'!$E$29:$E$45"))),"NO DISPONIBLE"),IFERROR(LOOKUP(2,1/((INDIRECT("'"&amp;$B20&amp;"'!$F$29:$F$45"))&lt;&gt;""),(INDIRECT("'"&amp;$B20&amp;"'!$F$29:$F$45"))),"NO DISPONIBLE"))</f>
        <v>CALIBRACIÓN 24-SAE-0807D / SAE</v>
      </c>
      <c r="Y20" s="3" t="s">
        <v>69</v>
      </c>
      <c r="Z20" s="5" cm="1">
        <f t="array" aca="1" ref="Z20" ca="1">IF((IFERROR(VLOOKUP(IFERROR(LOOKUP(2,1/((INDIRECT("'"&amp;$B20&amp;"'!$D$29:$D$45"))&lt;&gt;""),(INDIRECT("'"&amp;$B20&amp;"'!$D$29:$D$45"))),"NO DISPONIBLE"),CHOOSE({1,2},(INDIRECT("'"&amp;$B20&amp;"'!$D$29:$D$45")),(INDIRECT("'"&amp;$B20&amp;"'!$A$29:$A$45"))),2,0),0))&gt;(IFERROR(VLOOKUP(IFERROR(LOOKUP(2,1/((INDIRECT("'"&amp;$B20&amp;"'!$C$29:$C$45"))&lt;&gt;""),(INDIRECT("'"&amp;$B20&amp;"'!$C$29:$C$45"))),"NO DISPONIBLE"),CHOOSE({1,2},(INDIRECT("'"&amp;$B20&amp;"'!$C$29:$C$45")),(INDIRECT("'"&amp;$B20&amp;"'!$A$29:$A$45"))),2,0),0)),(IFERROR(VLOOKUP(IFERROR(LOOKUP(2,1/((INDIRECT("'"&amp;$B20&amp;"'!$D$29:$D$45"))&lt;&gt;""),(INDIRECT("'"&amp;$B20&amp;"'!$D$29:$D$45"))),"NO DISPONIBLE"),CHOOSE({1,2},(INDIRECT("'"&amp;$B20&amp;"'!$D$29:$D$45")),(INDIRECT("'"&amp;$B20&amp;"'!$A$29:$A$45"))),2,0),0)),(IFERROR(VLOOKUP(IFERROR(LOOKUP(2,1/((INDIRECT("'"&amp;$B20&amp;"'!$C$29:$C$45"))&lt;&gt;""),(INDIRECT("'"&amp;$B20&amp;"'!$C$29:$C$45"))),"NO DISPONIBLE"),CHOOSE({1,2},(INDIRECT("'"&amp;$B20&amp;"'!$C$29:$C$45")),(INDIRECT("'"&amp;$B20&amp;"'!$A$29:$A$45"))),2,0),0)))</f>
        <v>0</v>
      </c>
      <c r="AA20" s="6" t="s">
        <v>70</v>
      </c>
      <c r="AB20" s="7" t="str" cm="1">
        <f t="array" aca="1" ref="AB20" ca="1">IF((IFERROR(VLOOKUP(IFERROR(LOOKUP(2,1/((INDIRECT("'"&amp;$B20&amp;"'!$C$29:$C$45"))&lt;&gt;""),(INDIRECT("'"&amp;$B20&amp;"'!$C$29:$C$45"))),"NO DISPONIBLE"),CHOOSE({1,2},(INDIRECT("'"&amp;$B20&amp;"'!$C$29:$C$45")),(INDIRECT("'"&amp;$B20&amp;"'!$A$29:$A$45"))),2,0),0))&gt;(IFERROR(VLOOKUP(IFERROR(LOOKUP(2,1/((INDIRECT("'"&amp;$B20&amp;"'!$D$29:$D$45"))&lt;&gt;""),(INDIRECT("'"&amp;$B20&amp;"'!$D$29:$D$45"))),"NO DISPONIBLE"),CHOOSE({1,2},(INDIRECT("'"&amp;$B20&amp;"'!$D$29:$D$45")),(INDIRECT("'"&amp;$B20&amp;"'!$A$29:$A$45"))),2,0),0)),IFERROR(LOOKUP(2,1/((INDIRECT("'"&amp;$B20&amp;"'!$C$29:$C$45"))&lt;&gt;""),(INDIRECT("'"&amp;$B20&amp;"'!$C$29:$C$45"))),"NO DISPONIBLE"),IFERROR(LOOKUP(2,1/((INDIRECT("'"&amp;$B20&amp;"'!$D$29:$D$45"))&lt;&gt;""),(INDIRECT("'"&amp;$B20&amp;"'!$D$29:$D$45"))),"NO DISPONIBLE"))</f>
        <v>NO DISPONIBLE</v>
      </c>
      <c r="AC20" s="6" t="s">
        <v>82</v>
      </c>
      <c r="AD20" s="8"/>
    </row>
    <row r="21" spans="1:30" x14ac:dyDescent="0.3">
      <c r="A21" s="2" t="s">
        <v>36</v>
      </c>
      <c r="B21" s="2" t="str" cm="1">
        <f t="array" aca="1" ref="B21" ca="1">INDIRECT("'"&amp;$B21&amp;"'!$A$6")</f>
        <v>BLOQUE SECO</v>
      </c>
      <c r="C21" s="3" t="str" cm="1">
        <f t="array" aca="1" ref="C21" ca="1">INDIRECT("'"&amp;$B21&amp;"'!$G$14")</f>
        <v>HACH</v>
      </c>
      <c r="D21" s="3" cm="1">
        <f t="array" aca="1" ref="D21" ca="1">INDIRECT("'"&amp;$B21&amp;"'!$G$15")</f>
        <v>45600</v>
      </c>
      <c r="E21" s="24" cm="1">
        <f t="array" aca="1" ref="E21" ca="1">INDIRECT("'"&amp;$B21&amp;"'!$G$16")</f>
        <v>970500015899</v>
      </c>
      <c r="F21" s="3" t="s">
        <v>66</v>
      </c>
      <c r="G21" s="3" t="s">
        <v>67</v>
      </c>
      <c r="H21" s="3" t="str" cm="1">
        <f t="array" aca="1" ref="H21" ca="1">INDIRECT("'"&amp;$B21&amp;"'!$G$11")</f>
        <v>TEMPERATURA</v>
      </c>
      <c r="I21" s="3" t="str" cm="1">
        <f t="array" aca="1" ref="I21" ca="1">INDIRECT("'"&amp;$B21&amp;"'!$C$11")</f>
        <v>BAJA</v>
      </c>
      <c r="J21" s="3" t="str" cm="1">
        <f t="array" aca="1" ref="J21" ca="1">INDIRECT("'"&amp;$B21&amp;"'!$G$21")</f>
        <v>99,9 °C</v>
      </c>
      <c r="K21" s="3" t="str" cm="1">
        <f t="array" aca="1" ref="K21" ca="1">INDIRECT("'"&amp;$B21&amp;"'!$G$22")</f>
        <v>0 °C</v>
      </c>
      <c r="L21" s="3" t="str" cm="1">
        <f t="array" aca="1" ref="L21" ca="1">INDIRECT("'"&amp;$B21&amp;"'!$G$23")</f>
        <v>0,1 °C</v>
      </c>
      <c r="M21" s="4"/>
      <c r="N21" s="3" t="str" cm="1">
        <f t="array" aca="1" ref="N21" ca="1">INDIRECT("'"&amp;$B21&amp;"'!$G$22")</f>
        <v>0 °C</v>
      </c>
      <c r="O21" s="3"/>
      <c r="P21" s="7" t="str" cm="1">
        <f t="array" aca="1" ref="P21" ca="1">IFERROR(LOOKUP(2,1/((INDIRECT("'"&amp;$B21&amp;"'!$G$29:$G$45"))&lt;&gt;""),(INDIRECT("'"&amp;$B21&amp;"'!$G$29:$G$45"))),"NO DISPONIBLE")</f>
        <v>FUNCIONAL</v>
      </c>
      <c r="Q21" s="3" t="s">
        <v>69</v>
      </c>
      <c r="R21" s="5" cm="1">
        <f t="array" aca="1" ref="R21" ca="1">IF(IF(MAX((IFERROR((ROW(INDIRECT("'"&amp;$B21&amp;"'!$F$29:$F$45"))-ROW(INDIRECT("'"&amp;$B21&amp;"'!$F$29"))+1)/--(IF(INDIRECT("'"&amp;$B21&amp;"'!$F$29:$F$45")&lt;&gt;"",1,0)),0))-(IFERROR((ROW(INDIRECT("'"&amp;$B21&amp;"'!$F$29:$F$45"))-ROW(INDIRECT("'"&amp;$B21&amp;"'!$F$29"))+1)/--(FIND("VERIFICACIÓN: ", INDIRECT("'"&amp;$B21&amp;"'!$F$29:$F$45"))),0)))&lt;&gt;0,INDEX(INDIRECT("'"&amp;$B21&amp;"'!$A$29:$G$45"),MAX((IFERROR((ROW(INDIRECT("'"&amp;$B21&amp;"'!$F$29:$F$45"))-ROW(INDIRECT("'"&amp;$B21&amp;"'!$F$29"))+1)/--(IF(INDIRECT("'"&amp;$B21&amp;"'!$F$29:$F$45")&lt;&gt;"",1,0)),0))-(IFERROR((ROW(INDIRECT("'"&amp;$B21&amp;"'!$F$29:$F$45"))-ROW(INDIRECT("'"&amp;$B21&amp;"'!$F$29"))+1)/--(FIND("VERIFICACIÓN: ", INDIRECT("'"&amp;$B21&amp;"'!$F$29:$F$45"))),0))),1),0)&gt;IF(MAX(IFERROR((_xlfn._xlws.FILTER((ROW(INDIRECT("'"&amp;$B21&amp;"'!$E$29:$E$45"))-ROW(INDIRECT("'"&amp;$B21&amp;"'!$E$29"))+1)/--(IF(INDIRECT("'"&amp;$B21&amp;"'!$E$29:$E$45")&lt;&gt;"",1,0)), NOT(ISNUMBER(MATCH((ROW(INDIRECT("'"&amp;$B21&amp;"'!$E$29:$E$45"))-ROW(INDIRECT("'"&amp;$B21&amp;"'!$E$29"))+1)/--(IF(INDIRECT("'"&amp;$B21&amp;"'!$E$29:$E$45")&lt;&gt;"",1,0)), (ROW(INDIRECT("'"&amp;$B21&amp;"'!$E$29:$E$45"))-ROW(INDIRECT("'"&amp;$B21&amp;"'!$E$29"))+1)/--(FIND("VERIFICACIÓN: ", INDIRECT("'"&amp;$B21&amp;"'!$E$29:$E$45"))), 0))))),0))&lt;&gt;0,INDEX(INDIRECT("'"&amp;$B21&amp;"'!$A$29:$G$45"),MAX((IFERROR((ROW(INDIRECT("'"&amp;$B21&amp;"'!$E$29:$E$45"))-ROW(INDIRECT("'"&amp;$B21&amp;"'!$E$29"))+1)/--(IF(INDIRECT("'"&amp;$B21&amp;"'!$E$29:$E$45")&lt;&gt;"",1,0)),0))-(IFERROR((ROW(INDIRECT("'"&amp;$B21&amp;"'!$E$29:$E$45"))-ROW(INDIRECT("'"&amp;$B21&amp;"'!$E$29"))+1)/--(FIND("VERIFICACIÓN: ", INDIRECT("'"&amp;$B21&amp;"'!$E$29:$E$45"))),0))),1),0),IF(MAX((IFERROR((ROW(INDIRECT("'"&amp;$B21&amp;"'!$F$29:$F$45"))-ROW(INDIRECT("'"&amp;$B21&amp;"'!$F$29"))+1)/--(IF(INDIRECT("'"&amp;$B21&amp;"'!$F$29:$F$45")&lt;&gt;"",1,0)),0))-(IFERROR((ROW(INDIRECT("'"&amp;$B21&amp;"'!$F$29:$F$45"))-ROW(INDIRECT("'"&amp;$B21&amp;"'!$F$29"))+1)/--(FIND("VERIFICACIÓN: ", INDIRECT("'"&amp;$B21&amp;"'!$F$29:$F$45"))),0)))&lt;&gt;0,INDEX(INDIRECT("'"&amp;$B21&amp;"'!$A$29:$G$45"),MAX((IFERROR((ROW(INDIRECT("'"&amp;$B21&amp;"'!$F$29:$F$45"))-ROW(INDIRECT("'"&amp;$B21&amp;"'!$F$29"))+1)/--(IF(INDIRECT("'"&amp;$B21&amp;"'!$F$29:$F$45")&lt;&gt;"",1,0)),0))-(IFERROR((ROW(INDIRECT("'"&amp;$B21&amp;"'!$F$29:$F$45"))-ROW(INDIRECT("'"&amp;$B21&amp;"'!$F$29"))+1)/--(FIND("VERIFICACIÓN: ", INDIRECT("'"&amp;$B21&amp;"'!$F$29:$F$45"))),0))),1),0),IF(MAX(IFERROR((_xlfn._xlws.FILTER((ROW(INDIRECT("'"&amp;$B21&amp;"'!$E$29:$E$45"))-ROW(INDIRECT("'"&amp;$B21&amp;"'!$E$29"))+1)/--(IF(INDIRECT("'"&amp;$B21&amp;"'!$E$29:$E$45")&lt;&gt;"",1,0)), NOT(ISNUMBER(MATCH((ROW(INDIRECT("'"&amp;$B21&amp;"'!$E$29:$E$45"))-ROW(INDIRECT("'"&amp;$B21&amp;"'!$E$29"))+1)/--(IF(INDIRECT("'"&amp;$B21&amp;"'!$E$29:$E$45")&lt;&gt;"",1,0)), (ROW(INDIRECT("'"&amp;$B21&amp;"'!$E$29:$E$45"))-ROW(INDIRECT("'"&amp;$B21&amp;"'!$E$29"))+1)/--(FIND("VERIFICACIÓN: ", INDIRECT("'"&amp;$B21&amp;"'!$E$29:$E$45"))), 0))))),0))&lt;&gt;0,INDEX(INDIRECT("'"&amp;$B21&amp;"'!$A$29:$G$45"),MAX((IFERROR((ROW(INDIRECT("'"&amp;$B21&amp;"'!$E$29:$E$45"))-ROW(INDIRECT("'"&amp;$B21&amp;"'!$E$29"))+1)/--(IF(INDIRECT("'"&amp;$B21&amp;"'!$E$29:$E$45")&lt;&gt;"",1,0)),0))-(IFERROR((ROW(INDIRECT("'"&amp;$B21&amp;"'!$E$29:$E$45"))-ROW(INDIRECT("'"&amp;$B21&amp;"'!$E$29"))+1)/--(FIND("VERIFICACIÓN: ", INDIRECT("'"&amp;$B21&amp;"'!$E$29:$E$45"))),0))),1),0))</f>
        <v>0</v>
      </c>
      <c r="S21" s="6" t="s">
        <v>70</v>
      </c>
      <c r="T21" s="7" t="str" cm="1">
        <f t="array" aca="1" ref="T21" ca="1">IF(IF(MAX((IFERROR((ROW(INDIRECT("'"&amp;$B21&amp;"'!$F$29:$F$45"))-ROW(INDIRECT("'"&amp;$B21&amp;"'!$F$29"))+1)/--(IF(INDIRECT("'"&amp;$B21&amp;"'!$F$29:$F$45")&lt;&gt;"",1,0)),0))-(IFERROR((ROW(INDIRECT("'"&amp;$B21&amp;"'!$F$29:$F$45"))-ROW(INDIRECT("'"&amp;$B21&amp;"'!$F$29"))+1)/--(FIND("VERIFICACIÓN: ", INDIRECT("'"&amp;$B21&amp;"'!$F$29:$F$45"))),0)))&lt;&gt;0,INDEX(INDIRECT("'"&amp;$B21&amp;"'!$A$29:$G$45"),MAX((IFERROR((ROW(INDIRECT("'"&amp;$B21&amp;"'!$F$29:$F$45"))-ROW(INDIRECT("'"&amp;$B21&amp;"'!$F$29"))+1)/--(IF(INDIRECT("'"&amp;$B21&amp;"'!$F$29:$F$45")&lt;&gt;"",1,0)),0))-(IFERROR((ROW(INDIRECT("'"&amp;$B21&amp;"'!$F$29:$F$45"))-ROW(INDIRECT("'"&amp;$B21&amp;"'!$F$29"))+1)/--(FIND("VERIFICACIÓN: ", INDIRECT("'"&amp;$B21&amp;"'!$F$29:$F$45"))),0))),1),0)&gt;IF(MAX(IFERROR((_xlfn._xlws.FILTER((ROW(INDIRECT("'"&amp;$B21&amp;"'!$E$29:$E$45"))-ROW(INDIRECT("'"&amp;$B21&amp;"'!$E$29"))+1)/--(IF(INDIRECT("'"&amp;$B21&amp;"'!$E$29:$E$45")&lt;&gt;"",1,0)), NOT(ISNUMBER(MATCH((ROW(INDIRECT("'"&amp;$B21&amp;"'!$E$29:$E$45"))-ROW(INDIRECT("'"&amp;$B21&amp;"'!$E$29"))+1)/--(IF(INDIRECT("'"&amp;$B21&amp;"'!$E$29:$E$45")&lt;&gt;"",1,0)), (ROW(INDIRECT("'"&amp;$B21&amp;"'!$E$29:$E$45"))-ROW(INDIRECT("'"&amp;$B21&amp;"'!$E$29"))+1)/--(FIND("VERIFICACIÓN: ", INDIRECT("'"&amp;$B21&amp;"'!$E$29:$E$45"))), 0))))),0))&lt;&gt;0,INDEX(INDIRECT("'"&amp;$B21&amp;"'!$A$29:$G$45"),MAX((IFERROR((ROW(INDIRECT("'"&amp;$B21&amp;"'!$E$29:$E$45"))-ROW(INDIRECT("'"&amp;$B21&amp;"'!$E$29"))+1)/--(IF(INDIRECT("'"&amp;$B21&amp;"'!$E$29:$E$45")&lt;&gt;"",1,0)),0))-(IFERROR((ROW(INDIRECT("'"&amp;$B21&amp;"'!$E$29:$E$45"))-ROW(INDIRECT("'"&amp;$B21&amp;"'!$E$29"))+1)/--(FIND("VERIFICACIÓN: ", INDIRECT("'"&amp;$B21&amp;"'!$E$29:$E$45"))),0))),1),0),IF(MAX((IFERROR((ROW(INDIRECT("'"&amp;$B21&amp;"'!$F$29:$F$45"))-ROW(INDIRECT("'"&amp;$B21&amp;"'!$F$29"))+1)/--(IF(INDIRECT("'"&amp;$B21&amp;"'!$F$29:$F$45")&lt;&gt;"",1,0)),0))-(IFERROR((ROW(INDIRECT("'"&amp;$B21&amp;"'!$F$29:$F$45"))-ROW(INDIRECT("'"&amp;$B21&amp;"'!$F$29"))+1)/--(FIND("VERIFICACIÓN: ", INDIRECT("'"&amp;$B21&amp;"'!$F$29:$F$45"))),0)))&lt;&gt;0,INDEX(INDIRECT("'"&amp;$B21&amp;"'!$A$29:$G$45"),MAX((IFERROR((ROW(INDIRECT("'"&amp;$B21&amp;"'!$F$29:$F$45"))-ROW(INDIRECT("'"&amp;$B21&amp;"'!$F$29"))+1)/--(IF(INDIRECT("'"&amp;$B21&amp;"'!$F$29:$F$45")&lt;&gt;"",1,0)),0))-(IFERROR((ROW(INDIRECT("'"&amp;$B21&amp;"'!$F$29:$F$45"))-ROW(INDIRECT("'"&amp;$B21&amp;"'!$F$29"))+1)/--(FIND("VERIFICACIÓN: ", INDIRECT("'"&amp;$B21&amp;"'!$F$29:$F$45"))),0))),6),"NO DISPONIBLE"),IF(MAX(IFERROR((_xlfn._xlws.FILTER((ROW(INDIRECT("'"&amp;$B21&amp;"'!$E$29:$E$45"))-ROW(INDIRECT("'"&amp;$B21&amp;"'!$E$29"))+1)/--(IF(INDIRECT("'"&amp;$B21&amp;"'!$E$29:$E$45")&lt;&gt;"",1,0)), NOT(ISNUMBER(MATCH((ROW(INDIRECT("'"&amp;$B21&amp;"'!$E$29:$E$45"))-ROW(INDIRECT("'"&amp;$B21&amp;"'!$E$29"))+1)/--(IF(INDIRECT("'"&amp;$B21&amp;"'!$E$29:$E$45")&lt;&gt;"",1,0)), (ROW(INDIRECT("'"&amp;$B21&amp;"'!$E$29:$E$45"))-ROW(INDIRECT("'"&amp;$B21&amp;"'!$E$29"))+1)/--(FIND("VERIFICACIÓN: ", INDIRECT("'"&amp;$B21&amp;"'!$E$29:$E$45"))), 0))))),0))&lt;&gt;0,INDEX(INDIRECT("'"&amp;$B21&amp;"'!$A$29:$G$45"),MAX((IFERROR((ROW(INDIRECT("'"&amp;$B21&amp;"'!$E$29:$E$45"))-ROW(INDIRECT("'"&amp;$B21&amp;"'!$E$29"))+1)/--(IF(INDIRECT("'"&amp;$B21&amp;"'!$E$29:$E$45")&lt;&gt;"",1,0)),0))-(IFERROR((ROW(INDIRECT("'"&amp;$B21&amp;"'!$E$29:$E$45"))-ROW(INDIRECT("'"&amp;$B21&amp;"'!$E$29"))+1)/--(FIND("VERIFICACIÓN: ", INDIRECT("'"&amp;$B21&amp;"'!$E$29:$E$45"))),0))),5),"NO DISPONIBLE"))</f>
        <v>NO DISPONIBLE</v>
      </c>
      <c r="U21" s="3" t="s">
        <v>69</v>
      </c>
      <c r="V21" s="5" cm="1">
        <f t="array" aca="1" ref="V21" ca="1">IF((IFERROR(VLOOKUP(IFERROR(LOOKUP(2,1/((INDIRECT("'"&amp;$B21&amp;"'!$F$29:$F$45"))&lt;&gt;""),(INDIRECT("'"&amp;$B21&amp;"'!$F$29:$F$45"))),"NO DISPONIBLE"),CHOOSE({1,2},(INDIRECT("'"&amp;$B21&amp;"'!$F$29:$F$45")),(INDIRECT("'"&amp;$B21&amp;"'!$A$29:$A$45"))),2,0),0))&gt;(IFERROR(VLOOKUP(IFERROR(LOOKUP(2,1/((INDIRECT("'"&amp;$B21&amp;"'!$E$29:$E$45"))&lt;&gt;""),(INDIRECT("'"&amp;$B21&amp;"'!$E$29:$E$45"))),"NO DISPONIBLE"),CHOOSE({1,2},(INDIRECT("'"&amp;$B21&amp;"'!$E$29:$E$45")),(INDIRECT("'"&amp;$B21&amp;"'!$A$29:$A$45"))),2,0),0)),(IFERROR(VLOOKUP(IFERROR(LOOKUP(2,1/((INDIRECT("'"&amp;$B21&amp;"'!$F$29:$F$45"))&lt;&gt;""),(INDIRECT("'"&amp;$B21&amp;"'!$F$29:$F$45"))),"NO DISPONIBLE"),CHOOSE({1,2},(INDIRECT("'"&amp;$B21&amp;"'!$F$29:$F$45")),(INDIRECT("'"&amp;$B21&amp;"'!$A$29:$A$45"))),2,0),0)),(IFERROR(VLOOKUP(IFERROR(LOOKUP(2,1/((INDIRECT("'"&amp;$B21&amp;"'!$E$29:$E$45"))&lt;&gt;""),(INDIRECT("'"&amp;$B21&amp;"'!$E$29:$E$45"))),"NO DISPONIBLE"),CHOOSE({1,2},(INDIRECT("'"&amp;$B21&amp;"'!$E$29:$E$45")),(INDIRECT("'"&amp;$B21&amp;"'!$A$29:$A$45"))),2,0),0)))</f>
        <v>0</v>
      </c>
      <c r="W21" s="6" t="s">
        <v>70</v>
      </c>
      <c r="X21" s="7" t="str" cm="1">
        <f t="array" aca="1" ref="X21" ca="1">IF((IFERROR(VLOOKUP(IFERROR(LOOKUP(2,1/((INDIRECT("'"&amp;$B21&amp;"'!$E$29:$E$45"))&lt;&gt;""),(INDIRECT("'"&amp;$B21&amp;"'!$E$29:$E$45"))),"NO DISPONIBLE"),CHOOSE({1,2},(INDIRECT("'"&amp;$B21&amp;"'!$E$29:$E$45")),(INDIRECT("'"&amp;$B21&amp;"'!$A$29:$A$45"))),2,0),0))&gt;(IFERROR(VLOOKUP(IFERROR(LOOKUP(2,1/((INDIRECT("'"&amp;$B21&amp;"'!$F$29:$F$45"))&lt;&gt;""),(INDIRECT("'"&amp;$B21&amp;"'!$F$29:$F$45"))),"NO DISPONIBLE"),CHOOSE({1,2},(INDIRECT("'"&amp;$B21&amp;"'!$F$29:$F$45")),(INDIRECT("'"&amp;$B21&amp;"'!$A$29:$A$45"))),2,0),0)),IFERROR(LOOKUP(2,1/((INDIRECT("'"&amp;$B21&amp;"'!$E$29:$E$45"))&lt;&gt;""),(INDIRECT("'"&amp;$B21&amp;"'!$E$29:$E$45"))),"NO DISPONIBLE"),IFERROR(LOOKUP(2,1/((INDIRECT("'"&amp;$B21&amp;"'!$F$29:$F$45"))&lt;&gt;""),(INDIRECT("'"&amp;$B21&amp;"'!$F$29:$F$45"))),"NO DISPONIBLE"))</f>
        <v>NO DISPONIBLE</v>
      </c>
      <c r="Y21" s="3" t="s">
        <v>69</v>
      </c>
      <c r="Z21" s="5" cm="1">
        <f t="array" aca="1" ref="Z21" ca="1">IF((IFERROR(VLOOKUP(IFERROR(LOOKUP(2,1/((INDIRECT("'"&amp;$B21&amp;"'!$D$29:$D$45"))&lt;&gt;""),(INDIRECT("'"&amp;$B21&amp;"'!$D$29:$D$45"))),"NO DISPONIBLE"),CHOOSE({1,2},(INDIRECT("'"&amp;$B21&amp;"'!$D$29:$D$45")),(INDIRECT("'"&amp;$B21&amp;"'!$A$29:$A$45"))),2,0),0))&gt;(IFERROR(VLOOKUP(IFERROR(LOOKUP(2,1/((INDIRECT("'"&amp;$B21&amp;"'!$C$29:$C$45"))&lt;&gt;""),(INDIRECT("'"&amp;$B21&amp;"'!$C$29:$C$45"))),"NO DISPONIBLE"),CHOOSE({1,2},(INDIRECT("'"&amp;$B21&amp;"'!$C$29:$C$45")),(INDIRECT("'"&amp;$B21&amp;"'!$A$29:$A$45"))),2,0),0)),(IFERROR(VLOOKUP(IFERROR(LOOKUP(2,1/((INDIRECT("'"&amp;$B21&amp;"'!$D$29:$D$45"))&lt;&gt;""),(INDIRECT("'"&amp;$B21&amp;"'!$D$29:$D$45"))),"NO DISPONIBLE"),CHOOSE({1,2},(INDIRECT("'"&amp;$B21&amp;"'!$D$29:$D$45")),(INDIRECT("'"&amp;$B21&amp;"'!$A$29:$A$45"))),2,0),0)),(IFERROR(VLOOKUP(IFERROR(LOOKUP(2,1/((INDIRECT("'"&amp;$B21&amp;"'!$C$29:$C$45"))&lt;&gt;""),(INDIRECT("'"&amp;$B21&amp;"'!$C$29:$C$45"))),"NO DISPONIBLE"),CHOOSE({1,2},(INDIRECT("'"&amp;$B21&amp;"'!$C$29:$C$45")),(INDIRECT("'"&amp;$B21&amp;"'!$A$29:$A$45"))),2,0),0)))</f>
        <v>44927</v>
      </c>
      <c r="AA21" s="6" t="s">
        <v>70</v>
      </c>
      <c r="AB21" s="7" t="str" cm="1">
        <f t="array" aca="1" ref="AB21" ca="1">IF((IFERROR(VLOOKUP(IFERROR(LOOKUP(2,1/((INDIRECT("'"&amp;$B21&amp;"'!$C$29:$C$45"))&lt;&gt;""),(INDIRECT("'"&amp;$B21&amp;"'!$C$29:$C$45"))),"NO DISPONIBLE"),CHOOSE({1,2},(INDIRECT("'"&amp;$B21&amp;"'!$C$29:$C$45")),(INDIRECT("'"&amp;$B21&amp;"'!$A$29:$A$45"))),2,0),0))&gt;(IFERROR(VLOOKUP(IFERROR(LOOKUP(2,1/((INDIRECT("'"&amp;$B21&amp;"'!$D$29:$D$45"))&lt;&gt;""),(INDIRECT("'"&amp;$B21&amp;"'!$D$29:$D$45"))),"NO DISPONIBLE"),CHOOSE({1,2},(INDIRECT("'"&amp;$B21&amp;"'!$D$29:$D$45")),(INDIRECT("'"&amp;$B21&amp;"'!$A$29:$A$45"))),2,0),0)),IFERROR(LOOKUP(2,1/((INDIRECT("'"&amp;$B21&amp;"'!$C$29:$C$45"))&lt;&gt;""),(INDIRECT("'"&amp;$B21&amp;"'!$C$29:$C$45"))),"NO DISPONIBLE"),IFERROR(LOOKUP(2,1/((INDIRECT("'"&amp;$B21&amp;"'!$D$29:$D$45"))&lt;&gt;""),(INDIRECT("'"&amp;$B21&amp;"'!$D$29:$D$45"))),"NO DISPONIBLE"))</f>
        <v>X</v>
      </c>
      <c r="AC21" s="6" t="s">
        <v>82</v>
      </c>
      <c r="AD21" s="8"/>
    </row>
    <row r="22" spans="1:30" x14ac:dyDescent="0.3">
      <c r="A22" s="2" t="s">
        <v>37</v>
      </c>
      <c r="B22" s="2" t="str" cm="1">
        <f t="array" aca="1" ref="B22" ca="1">INDIRECT("'"&amp;$B22&amp;"'!$A$6")</f>
        <v>INSTRUMENTO DE PESAJE</v>
      </c>
      <c r="C22" s="3" t="str" cm="1">
        <f t="array" aca="1" ref="C22" ca="1">INDIRECT("'"&amp;$B22&amp;"'!$G$14")</f>
        <v>OHAUS</v>
      </c>
      <c r="D22" s="3" t="str" cm="1">
        <f t="array" aca="1" ref="D22" ca="1">INDIRECT("'"&amp;$B22&amp;"'!$G$15")</f>
        <v>NVT3201/1</v>
      </c>
      <c r="E22" s="24" cm="1">
        <f t="array" aca="1" ref="E22" ca="1">INDIRECT("'"&amp;$B22&amp;"'!$G$16")</f>
        <v>8331397921</v>
      </c>
      <c r="F22" s="3" t="s">
        <v>65</v>
      </c>
      <c r="G22" s="3" t="s">
        <v>67</v>
      </c>
      <c r="H22" s="3" t="str" cm="1">
        <f t="array" aca="1" ref="H22" ca="1">INDIRECT("'"&amp;$B22&amp;"'!$G$11")</f>
        <v>MASA</v>
      </c>
      <c r="I22" s="3" t="str" cm="1">
        <f t="array" aca="1" ref="I22" ca="1">INDIRECT("'"&amp;$B22&amp;"'!$C$11")</f>
        <v>MEDIA</v>
      </c>
      <c r="J22" s="3" t="str" cm="1">
        <f t="array" aca="1" ref="J22" ca="1">INDIRECT("'"&amp;$B22&amp;"'!$G$21")</f>
        <v>3200 g</v>
      </c>
      <c r="K22" s="3" t="str" cm="1">
        <f t="array" aca="1" ref="K22" ca="1">INDIRECT("'"&amp;$B22&amp;"'!$G$22")</f>
        <v>4 g</v>
      </c>
      <c r="L22" s="3" t="str" cm="1">
        <f t="array" aca="1" ref="L22" ca="1">INDIRECT("'"&amp;$B22&amp;"'!$G$23")</f>
        <v>0,2 g</v>
      </c>
      <c r="M22" s="4"/>
      <c r="N22" s="3" t="str" cm="1">
        <f t="array" aca="1" ref="N22" ca="1">INDIRECT("'"&amp;$B22&amp;"'!$G$22")</f>
        <v>4 g</v>
      </c>
      <c r="O22" s="3"/>
      <c r="P22" s="7" t="str" cm="1">
        <f t="array" aca="1" ref="P22" ca="1">IFERROR(LOOKUP(2,1/((INDIRECT("'"&amp;$B22&amp;"'!$G$29:$G$45"))&lt;&gt;""),(INDIRECT("'"&amp;$B22&amp;"'!$G$29:$G$45"))),"NO DISPONIBLE")</f>
        <v>FUNCIONAL</v>
      </c>
      <c r="Q22" s="3" t="s">
        <v>69</v>
      </c>
      <c r="R22" s="5" cm="1">
        <f t="array" aca="1" ref="R22" ca="1">IF(IF(MAX((IFERROR((ROW(INDIRECT("'"&amp;$B22&amp;"'!$F$29:$F$45"))-ROW(INDIRECT("'"&amp;$B22&amp;"'!$F$29"))+1)/--(IF(INDIRECT("'"&amp;$B22&amp;"'!$F$29:$F$45")&lt;&gt;"",1,0)),0))-(IFERROR((ROW(INDIRECT("'"&amp;$B22&amp;"'!$F$29:$F$45"))-ROW(INDIRECT("'"&amp;$B22&amp;"'!$F$29"))+1)/--(FIND("VERIFICACIÓN: ", INDIRECT("'"&amp;$B22&amp;"'!$F$29:$F$45"))),0)))&lt;&gt;0,INDEX(INDIRECT("'"&amp;$B22&amp;"'!$A$29:$G$45"),MAX((IFERROR((ROW(INDIRECT("'"&amp;$B22&amp;"'!$F$29:$F$45"))-ROW(INDIRECT("'"&amp;$B22&amp;"'!$F$29"))+1)/--(IF(INDIRECT("'"&amp;$B22&amp;"'!$F$29:$F$45")&lt;&gt;"",1,0)),0))-(IFERROR((ROW(INDIRECT("'"&amp;$B22&amp;"'!$F$29:$F$45"))-ROW(INDIRECT("'"&amp;$B22&amp;"'!$F$29"))+1)/--(FIND("VERIFICACIÓN: ", INDIRECT("'"&amp;$B22&amp;"'!$F$29:$F$45"))),0))),1),0)&gt;IF(MAX(IFERROR((_xlfn._xlws.FILTER((ROW(INDIRECT("'"&amp;$B22&amp;"'!$E$29:$E$45"))-ROW(INDIRECT("'"&amp;$B22&amp;"'!$E$29"))+1)/--(IF(INDIRECT("'"&amp;$B22&amp;"'!$E$29:$E$45")&lt;&gt;"",1,0)), NOT(ISNUMBER(MATCH((ROW(INDIRECT("'"&amp;$B22&amp;"'!$E$29:$E$45"))-ROW(INDIRECT("'"&amp;$B22&amp;"'!$E$29"))+1)/--(IF(INDIRECT("'"&amp;$B22&amp;"'!$E$29:$E$45")&lt;&gt;"",1,0)), (ROW(INDIRECT("'"&amp;$B22&amp;"'!$E$29:$E$45"))-ROW(INDIRECT("'"&amp;$B22&amp;"'!$E$29"))+1)/--(FIND("VERIFICACIÓN: ", INDIRECT("'"&amp;$B22&amp;"'!$E$29:$E$45"))), 0))))),0))&lt;&gt;0,INDEX(INDIRECT("'"&amp;$B22&amp;"'!$A$29:$G$45"),MAX((IFERROR((ROW(INDIRECT("'"&amp;$B22&amp;"'!$E$29:$E$45"))-ROW(INDIRECT("'"&amp;$B22&amp;"'!$E$29"))+1)/--(IF(INDIRECT("'"&amp;$B22&amp;"'!$E$29:$E$45")&lt;&gt;"",1,0)),0))-(IFERROR((ROW(INDIRECT("'"&amp;$B22&amp;"'!$E$29:$E$45"))-ROW(INDIRECT("'"&amp;$B22&amp;"'!$E$29"))+1)/--(FIND("VERIFICACIÓN: ", INDIRECT("'"&amp;$B22&amp;"'!$E$29:$E$45"))),0))),1),0),IF(MAX((IFERROR((ROW(INDIRECT("'"&amp;$B22&amp;"'!$F$29:$F$45"))-ROW(INDIRECT("'"&amp;$B22&amp;"'!$F$29"))+1)/--(IF(INDIRECT("'"&amp;$B22&amp;"'!$F$29:$F$45")&lt;&gt;"",1,0)),0))-(IFERROR((ROW(INDIRECT("'"&amp;$B22&amp;"'!$F$29:$F$45"))-ROW(INDIRECT("'"&amp;$B22&amp;"'!$F$29"))+1)/--(FIND("VERIFICACIÓN: ", INDIRECT("'"&amp;$B22&amp;"'!$F$29:$F$45"))),0)))&lt;&gt;0,INDEX(INDIRECT("'"&amp;$B22&amp;"'!$A$29:$G$45"),MAX((IFERROR((ROW(INDIRECT("'"&amp;$B22&amp;"'!$F$29:$F$45"))-ROW(INDIRECT("'"&amp;$B22&amp;"'!$F$29"))+1)/--(IF(INDIRECT("'"&amp;$B22&amp;"'!$F$29:$F$45")&lt;&gt;"",1,0)),0))-(IFERROR((ROW(INDIRECT("'"&amp;$B22&amp;"'!$F$29:$F$45"))-ROW(INDIRECT("'"&amp;$B22&amp;"'!$F$29"))+1)/--(FIND("VERIFICACIÓN: ", INDIRECT("'"&amp;$B22&amp;"'!$F$29:$F$45"))),0))),1),0),IF(MAX(IFERROR((_xlfn._xlws.FILTER((ROW(INDIRECT("'"&amp;$B22&amp;"'!$E$29:$E$45"))-ROW(INDIRECT("'"&amp;$B22&amp;"'!$E$29"))+1)/--(IF(INDIRECT("'"&amp;$B22&amp;"'!$E$29:$E$45")&lt;&gt;"",1,0)), NOT(ISNUMBER(MATCH((ROW(INDIRECT("'"&amp;$B22&amp;"'!$E$29:$E$45"))-ROW(INDIRECT("'"&amp;$B22&amp;"'!$E$29"))+1)/--(IF(INDIRECT("'"&amp;$B22&amp;"'!$E$29:$E$45")&lt;&gt;"",1,0)), (ROW(INDIRECT("'"&amp;$B22&amp;"'!$E$29:$E$45"))-ROW(INDIRECT("'"&amp;$B22&amp;"'!$E$29"))+1)/--(FIND("VERIFICACIÓN: ", INDIRECT("'"&amp;$B22&amp;"'!$E$29:$E$45"))), 0))))),0))&lt;&gt;0,INDEX(INDIRECT("'"&amp;$B22&amp;"'!$A$29:$G$45"),MAX((IFERROR((ROW(INDIRECT("'"&amp;$B22&amp;"'!$E$29:$E$45"))-ROW(INDIRECT("'"&amp;$B22&amp;"'!$E$29"))+1)/--(IF(INDIRECT("'"&amp;$B22&amp;"'!$E$29:$E$45")&lt;&gt;"",1,0)),0))-(IFERROR((ROW(INDIRECT("'"&amp;$B22&amp;"'!$E$29:$E$45"))-ROW(INDIRECT("'"&amp;$B22&amp;"'!$E$29"))+1)/--(FIND("VERIFICACIÓN: ", INDIRECT("'"&amp;$B22&amp;"'!$E$29:$E$45"))),0))),1),0))</f>
        <v>0</v>
      </c>
      <c r="S22" s="6" t="s">
        <v>70</v>
      </c>
      <c r="T22" s="7" t="str" cm="1">
        <f t="array" aca="1" ref="T22" ca="1">IF(IF(MAX((IFERROR((ROW(INDIRECT("'"&amp;$B22&amp;"'!$F$29:$F$45"))-ROW(INDIRECT("'"&amp;$B22&amp;"'!$F$29"))+1)/--(IF(INDIRECT("'"&amp;$B22&amp;"'!$F$29:$F$45")&lt;&gt;"",1,0)),0))-(IFERROR((ROW(INDIRECT("'"&amp;$B22&amp;"'!$F$29:$F$45"))-ROW(INDIRECT("'"&amp;$B22&amp;"'!$F$29"))+1)/--(FIND("VERIFICACIÓN: ", INDIRECT("'"&amp;$B22&amp;"'!$F$29:$F$45"))),0)))&lt;&gt;0,INDEX(INDIRECT("'"&amp;$B22&amp;"'!$A$29:$G$45"),MAX((IFERROR((ROW(INDIRECT("'"&amp;$B22&amp;"'!$F$29:$F$45"))-ROW(INDIRECT("'"&amp;$B22&amp;"'!$F$29"))+1)/--(IF(INDIRECT("'"&amp;$B22&amp;"'!$F$29:$F$45")&lt;&gt;"",1,0)),0))-(IFERROR((ROW(INDIRECT("'"&amp;$B22&amp;"'!$F$29:$F$45"))-ROW(INDIRECT("'"&amp;$B22&amp;"'!$F$29"))+1)/--(FIND("VERIFICACIÓN: ", INDIRECT("'"&amp;$B22&amp;"'!$F$29:$F$45"))),0))),1),0)&gt;IF(MAX(IFERROR((_xlfn._xlws.FILTER((ROW(INDIRECT("'"&amp;$B22&amp;"'!$E$29:$E$45"))-ROW(INDIRECT("'"&amp;$B22&amp;"'!$E$29"))+1)/--(IF(INDIRECT("'"&amp;$B22&amp;"'!$E$29:$E$45")&lt;&gt;"",1,0)), NOT(ISNUMBER(MATCH((ROW(INDIRECT("'"&amp;$B22&amp;"'!$E$29:$E$45"))-ROW(INDIRECT("'"&amp;$B22&amp;"'!$E$29"))+1)/--(IF(INDIRECT("'"&amp;$B22&amp;"'!$E$29:$E$45")&lt;&gt;"",1,0)), (ROW(INDIRECT("'"&amp;$B22&amp;"'!$E$29:$E$45"))-ROW(INDIRECT("'"&amp;$B22&amp;"'!$E$29"))+1)/--(FIND("VERIFICACIÓN: ", INDIRECT("'"&amp;$B22&amp;"'!$E$29:$E$45"))), 0))))),0))&lt;&gt;0,INDEX(INDIRECT("'"&amp;$B22&amp;"'!$A$29:$G$45"),MAX((IFERROR((ROW(INDIRECT("'"&amp;$B22&amp;"'!$E$29:$E$45"))-ROW(INDIRECT("'"&amp;$B22&amp;"'!$E$29"))+1)/--(IF(INDIRECT("'"&amp;$B22&amp;"'!$E$29:$E$45")&lt;&gt;"",1,0)),0))-(IFERROR((ROW(INDIRECT("'"&amp;$B22&amp;"'!$E$29:$E$45"))-ROW(INDIRECT("'"&amp;$B22&amp;"'!$E$29"))+1)/--(FIND("VERIFICACIÓN: ", INDIRECT("'"&amp;$B22&amp;"'!$E$29:$E$45"))),0))),1),0),IF(MAX((IFERROR((ROW(INDIRECT("'"&amp;$B22&amp;"'!$F$29:$F$45"))-ROW(INDIRECT("'"&amp;$B22&amp;"'!$F$29"))+1)/--(IF(INDIRECT("'"&amp;$B22&amp;"'!$F$29:$F$45")&lt;&gt;"",1,0)),0))-(IFERROR((ROW(INDIRECT("'"&amp;$B22&amp;"'!$F$29:$F$45"))-ROW(INDIRECT("'"&amp;$B22&amp;"'!$F$29"))+1)/--(FIND("VERIFICACIÓN: ", INDIRECT("'"&amp;$B22&amp;"'!$F$29:$F$45"))),0)))&lt;&gt;0,INDEX(INDIRECT("'"&amp;$B22&amp;"'!$A$29:$G$45"),MAX((IFERROR((ROW(INDIRECT("'"&amp;$B22&amp;"'!$F$29:$F$45"))-ROW(INDIRECT("'"&amp;$B22&amp;"'!$F$29"))+1)/--(IF(INDIRECT("'"&amp;$B22&amp;"'!$F$29:$F$45")&lt;&gt;"",1,0)),0))-(IFERROR((ROW(INDIRECT("'"&amp;$B22&amp;"'!$F$29:$F$45"))-ROW(INDIRECT("'"&amp;$B22&amp;"'!$F$29"))+1)/--(FIND("VERIFICACIÓN: ", INDIRECT("'"&amp;$B22&amp;"'!$F$29:$F$45"))),0))),6),"NO DISPONIBLE"),IF(MAX(IFERROR((_xlfn._xlws.FILTER((ROW(INDIRECT("'"&amp;$B22&amp;"'!$E$29:$E$45"))-ROW(INDIRECT("'"&amp;$B22&amp;"'!$E$29"))+1)/--(IF(INDIRECT("'"&amp;$B22&amp;"'!$E$29:$E$45")&lt;&gt;"",1,0)), NOT(ISNUMBER(MATCH((ROW(INDIRECT("'"&amp;$B22&amp;"'!$E$29:$E$45"))-ROW(INDIRECT("'"&amp;$B22&amp;"'!$E$29"))+1)/--(IF(INDIRECT("'"&amp;$B22&amp;"'!$E$29:$E$45")&lt;&gt;"",1,0)), (ROW(INDIRECT("'"&amp;$B22&amp;"'!$E$29:$E$45"))-ROW(INDIRECT("'"&amp;$B22&amp;"'!$E$29"))+1)/--(FIND("VERIFICACIÓN: ", INDIRECT("'"&amp;$B22&amp;"'!$E$29:$E$45"))), 0))))),0))&lt;&gt;0,INDEX(INDIRECT("'"&amp;$B22&amp;"'!$A$29:$G$45"),MAX((IFERROR((ROW(INDIRECT("'"&amp;$B22&amp;"'!$E$29:$E$45"))-ROW(INDIRECT("'"&amp;$B22&amp;"'!$E$29"))+1)/--(IF(INDIRECT("'"&amp;$B22&amp;"'!$E$29:$E$45")&lt;&gt;"",1,0)),0))-(IFERROR((ROW(INDIRECT("'"&amp;$B22&amp;"'!$E$29:$E$45"))-ROW(INDIRECT("'"&amp;$B22&amp;"'!$E$29"))+1)/--(FIND("VERIFICACIÓN: ", INDIRECT("'"&amp;$B22&amp;"'!$E$29:$E$45"))),0))),5),"NO DISPONIBLE"))</f>
        <v>NO DISPONIBLE</v>
      </c>
      <c r="U22" s="3" t="s">
        <v>69</v>
      </c>
      <c r="V22" s="5" cm="1">
        <f t="array" aca="1" ref="V22" ca="1">IF((IFERROR(VLOOKUP(IFERROR(LOOKUP(2,1/((INDIRECT("'"&amp;$B22&amp;"'!$F$29:$F$45"))&lt;&gt;""),(INDIRECT("'"&amp;$B22&amp;"'!$F$29:$F$45"))),"NO DISPONIBLE"),CHOOSE({1,2},(INDIRECT("'"&amp;$B22&amp;"'!$F$29:$F$45")),(INDIRECT("'"&amp;$B22&amp;"'!$A$29:$A$45"))),2,0),0))&gt;(IFERROR(VLOOKUP(IFERROR(LOOKUP(2,1/((INDIRECT("'"&amp;$B22&amp;"'!$E$29:$E$45"))&lt;&gt;""),(INDIRECT("'"&amp;$B22&amp;"'!$E$29:$E$45"))),"NO DISPONIBLE"),CHOOSE({1,2},(INDIRECT("'"&amp;$B22&amp;"'!$E$29:$E$45")),(INDIRECT("'"&amp;$B22&amp;"'!$A$29:$A$45"))),2,0),0)),(IFERROR(VLOOKUP(IFERROR(LOOKUP(2,1/((INDIRECT("'"&amp;$B22&amp;"'!$F$29:$F$45"))&lt;&gt;""),(INDIRECT("'"&amp;$B22&amp;"'!$F$29:$F$45"))),"NO DISPONIBLE"),CHOOSE({1,2},(INDIRECT("'"&amp;$B22&amp;"'!$F$29:$F$45")),(INDIRECT("'"&amp;$B22&amp;"'!$A$29:$A$45"))),2,0),0)),(IFERROR(VLOOKUP(IFERROR(LOOKUP(2,1/((INDIRECT("'"&amp;$B22&amp;"'!$E$29:$E$45"))&lt;&gt;""),(INDIRECT("'"&amp;$B22&amp;"'!$E$29:$E$45"))),"NO DISPONIBLE"),CHOOSE({1,2},(INDIRECT("'"&amp;$B22&amp;"'!$E$29:$E$45")),(INDIRECT("'"&amp;$B22&amp;"'!$A$29:$A$45"))),2,0),0)))</f>
        <v>0</v>
      </c>
      <c r="W22" s="6" t="s">
        <v>70</v>
      </c>
      <c r="X22" s="7" t="str" cm="1">
        <f t="array" aca="1" ref="X22" ca="1">IF((IFERROR(VLOOKUP(IFERROR(LOOKUP(2,1/((INDIRECT("'"&amp;$B22&amp;"'!$E$29:$E$45"))&lt;&gt;""),(INDIRECT("'"&amp;$B22&amp;"'!$E$29:$E$45"))),"NO DISPONIBLE"),CHOOSE({1,2},(INDIRECT("'"&amp;$B22&amp;"'!$E$29:$E$45")),(INDIRECT("'"&amp;$B22&amp;"'!$A$29:$A$45"))),2,0),0))&gt;(IFERROR(VLOOKUP(IFERROR(LOOKUP(2,1/((INDIRECT("'"&amp;$B22&amp;"'!$F$29:$F$45"))&lt;&gt;""),(INDIRECT("'"&amp;$B22&amp;"'!$F$29:$F$45"))),"NO DISPONIBLE"),CHOOSE({1,2},(INDIRECT("'"&amp;$B22&amp;"'!$F$29:$F$45")),(INDIRECT("'"&amp;$B22&amp;"'!$A$29:$A$45"))),2,0),0)),IFERROR(LOOKUP(2,1/((INDIRECT("'"&amp;$B22&amp;"'!$E$29:$E$45"))&lt;&gt;""),(INDIRECT("'"&amp;$B22&amp;"'!$E$29:$E$45"))),"NO DISPONIBLE"),IFERROR(LOOKUP(2,1/((INDIRECT("'"&amp;$B22&amp;"'!$F$29:$F$45"))&lt;&gt;""),(INDIRECT("'"&amp;$B22&amp;"'!$F$29:$F$45"))),"NO DISPONIBLE"))</f>
        <v>NO DISPONIBLE</v>
      </c>
      <c r="Y22" s="3" t="s">
        <v>69</v>
      </c>
      <c r="Z22" s="5" cm="1">
        <f t="array" aca="1" ref="Z22" ca="1">IF((IFERROR(VLOOKUP(IFERROR(LOOKUP(2,1/((INDIRECT("'"&amp;$B22&amp;"'!$D$29:$D$45"))&lt;&gt;""),(INDIRECT("'"&amp;$B22&amp;"'!$D$29:$D$45"))),"NO DISPONIBLE"),CHOOSE({1,2},(INDIRECT("'"&amp;$B22&amp;"'!$D$29:$D$45")),(INDIRECT("'"&amp;$B22&amp;"'!$A$29:$A$45"))),2,0),0))&gt;(IFERROR(VLOOKUP(IFERROR(LOOKUP(2,1/((INDIRECT("'"&amp;$B22&amp;"'!$C$29:$C$45"))&lt;&gt;""),(INDIRECT("'"&amp;$B22&amp;"'!$C$29:$C$45"))),"NO DISPONIBLE"),CHOOSE({1,2},(INDIRECT("'"&amp;$B22&amp;"'!$C$29:$C$45")),(INDIRECT("'"&amp;$B22&amp;"'!$A$29:$A$45"))),2,0),0)),(IFERROR(VLOOKUP(IFERROR(LOOKUP(2,1/((INDIRECT("'"&amp;$B22&amp;"'!$D$29:$D$45"))&lt;&gt;""),(INDIRECT("'"&amp;$B22&amp;"'!$D$29:$D$45"))),"NO DISPONIBLE"),CHOOSE({1,2},(INDIRECT("'"&amp;$B22&amp;"'!$D$29:$D$45")),(INDIRECT("'"&amp;$B22&amp;"'!$A$29:$A$45"))),2,0),0)),(IFERROR(VLOOKUP(IFERROR(LOOKUP(2,1/((INDIRECT("'"&amp;$B22&amp;"'!$C$29:$C$45"))&lt;&gt;""),(INDIRECT("'"&amp;$B22&amp;"'!$C$29:$C$45"))),"NO DISPONIBLE"),CHOOSE({1,2},(INDIRECT("'"&amp;$B22&amp;"'!$C$29:$C$45")),(INDIRECT("'"&amp;$B22&amp;"'!$A$29:$A$45"))),2,0),0)))</f>
        <v>0</v>
      </c>
      <c r="AA22" s="6" t="s">
        <v>70</v>
      </c>
      <c r="AB22" s="7" t="str" cm="1">
        <f t="array" aca="1" ref="AB22" ca="1">IF((IFERROR(VLOOKUP(IFERROR(LOOKUP(2,1/((INDIRECT("'"&amp;$B22&amp;"'!$C$29:$C$45"))&lt;&gt;""),(INDIRECT("'"&amp;$B22&amp;"'!$C$29:$C$45"))),"NO DISPONIBLE"),CHOOSE({1,2},(INDIRECT("'"&amp;$B22&amp;"'!$C$29:$C$45")),(INDIRECT("'"&amp;$B22&amp;"'!$A$29:$A$45"))),2,0),0))&gt;(IFERROR(VLOOKUP(IFERROR(LOOKUP(2,1/((INDIRECT("'"&amp;$B22&amp;"'!$D$29:$D$45"))&lt;&gt;""),(INDIRECT("'"&amp;$B22&amp;"'!$D$29:$D$45"))),"NO DISPONIBLE"),CHOOSE({1,2},(INDIRECT("'"&amp;$B22&amp;"'!$D$29:$D$45")),(INDIRECT("'"&amp;$B22&amp;"'!$A$29:$A$45"))),2,0),0)),IFERROR(LOOKUP(2,1/((INDIRECT("'"&amp;$B22&amp;"'!$C$29:$C$45"))&lt;&gt;""),(INDIRECT("'"&amp;$B22&amp;"'!$C$29:$C$45"))),"NO DISPONIBLE"),IFERROR(LOOKUP(2,1/((INDIRECT("'"&amp;$B22&amp;"'!$D$29:$D$45"))&lt;&gt;""),(INDIRECT("'"&amp;$B22&amp;"'!$D$29:$D$45"))),"NO DISPONIBLE"))</f>
        <v>NO DISPONIBLE</v>
      </c>
      <c r="AC22" s="6" t="s">
        <v>82</v>
      </c>
      <c r="AD22" s="8"/>
    </row>
    <row r="23" spans="1:30" x14ac:dyDescent="0.3">
      <c r="A23" s="2" t="s">
        <v>38</v>
      </c>
      <c r="B23" s="2" t="str" cm="1">
        <f t="array" aca="1" ref="B23" ca="1">INDIRECT("'"&amp;$B23&amp;"'!$A$6")</f>
        <v>DETECTOR DE VOLTAJE</v>
      </c>
      <c r="C23" s="3" t="str" cm="1">
        <f t="array" aca="1" ref="C23" ca="1">INDIRECT("'"&amp;$B23&amp;"'!$G$14")</f>
        <v>UNI-T</v>
      </c>
      <c r="D23" s="3" t="str" cm="1">
        <f t="array" aca="1" ref="D23" ca="1">INDIRECT("'"&amp;$B23&amp;"'!$G$15")</f>
        <v>UT-12D</v>
      </c>
      <c r="E23" s="24" cm="1">
        <f t="array" aca="1" ref="E23" ca="1">INDIRECT("'"&amp;$B23&amp;"'!$G$16")</f>
        <v>1131017402</v>
      </c>
      <c r="F23" s="3" t="s">
        <v>65</v>
      </c>
      <c r="G23" s="3" t="s">
        <v>67</v>
      </c>
      <c r="H23" s="3" t="str" cm="1">
        <f t="array" aca="1" ref="H23" ca="1">INDIRECT("'"&amp;$B23&amp;"'!$G$11")</f>
        <v xml:space="preserve">ELÉCTRICAS </v>
      </c>
      <c r="I23" s="3" t="str" cm="1">
        <f t="array" aca="1" ref="I23" ca="1">INDIRECT("'"&amp;$B23&amp;"'!$C$11")</f>
        <v>ALTA</v>
      </c>
      <c r="J23" s="3" t="str" cm="1">
        <f t="array" aca="1" ref="J23" ca="1">INDIRECT("'"&amp;$B23&amp;"'!$G$21")</f>
        <v>1000 V</v>
      </c>
      <c r="K23" s="3" t="str" cm="1">
        <f t="array" aca="1" ref="K23" ca="1">INDIRECT("'"&amp;$B23&amp;"'!$G$22")</f>
        <v>90 v</v>
      </c>
      <c r="L23" s="3" t="str" cm="1">
        <f t="array" aca="1" ref="L23" ca="1">INDIRECT("'"&amp;$B23&amp;"'!$G$23")</f>
        <v>N/A</v>
      </c>
      <c r="M23" s="4"/>
      <c r="N23" s="3" t="str" cm="1">
        <f t="array" aca="1" ref="N23" ca="1">INDIRECT("'"&amp;$B23&amp;"'!$G$22")</f>
        <v>90 v</v>
      </c>
      <c r="O23" s="3"/>
      <c r="P23" s="7" t="str" cm="1">
        <f t="array" aca="1" ref="P23" ca="1">IFERROR(LOOKUP(2,1/((INDIRECT("'"&amp;$B23&amp;"'!$G$29:$G$45"))&lt;&gt;""),(INDIRECT("'"&amp;$B23&amp;"'!$G$29:$G$45"))),"NO DISPONIBLE")</f>
        <v>FUNCIONAL</v>
      </c>
      <c r="Q23" s="3" t="s">
        <v>69</v>
      </c>
      <c r="R23" s="5" cm="1">
        <f t="array" aca="1" ref="R23" ca="1">IF(IF(MAX((IFERROR((ROW(INDIRECT("'"&amp;$B23&amp;"'!$F$29:$F$45"))-ROW(INDIRECT("'"&amp;$B23&amp;"'!$F$29"))+1)/--(IF(INDIRECT("'"&amp;$B23&amp;"'!$F$29:$F$45")&lt;&gt;"",1,0)),0))-(IFERROR((ROW(INDIRECT("'"&amp;$B23&amp;"'!$F$29:$F$45"))-ROW(INDIRECT("'"&amp;$B23&amp;"'!$F$29"))+1)/--(FIND("VERIFICACIÓN: ", INDIRECT("'"&amp;$B23&amp;"'!$F$29:$F$45"))),0)))&lt;&gt;0,INDEX(INDIRECT("'"&amp;$B23&amp;"'!$A$29:$G$45"),MAX((IFERROR((ROW(INDIRECT("'"&amp;$B23&amp;"'!$F$29:$F$45"))-ROW(INDIRECT("'"&amp;$B23&amp;"'!$F$29"))+1)/--(IF(INDIRECT("'"&amp;$B23&amp;"'!$F$29:$F$45")&lt;&gt;"",1,0)),0))-(IFERROR((ROW(INDIRECT("'"&amp;$B23&amp;"'!$F$29:$F$45"))-ROW(INDIRECT("'"&amp;$B23&amp;"'!$F$29"))+1)/--(FIND("VERIFICACIÓN: ", INDIRECT("'"&amp;$B23&amp;"'!$F$29:$F$45"))),0))),1),0)&gt;IF(MAX(IFERROR((_xlfn._xlws.FILTER((ROW(INDIRECT("'"&amp;$B23&amp;"'!$E$29:$E$45"))-ROW(INDIRECT("'"&amp;$B23&amp;"'!$E$29"))+1)/--(IF(INDIRECT("'"&amp;$B23&amp;"'!$E$29:$E$45")&lt;&gt;"",1,0)), NOT(ISNUMBER(MATCH((ROW(INDIRECT("'"&amp;$B23&amp;"'!$E$29:$E$45"))-ROW(INDIRECT("'"&amp;$B23&amp;"'!$E$29"))+1)/--(IF(INDIRECT("'"&amp;$B23&amp;"'!$E$29:$E$45")&lt;&gt;"",1,0)), (ROW(INDIRECT("'"&amp;$B23&amp;"'!$E$29:$E$45"))-ROW(INDIRECT("'"&amp;$B23&amp;"'!$E$29"))+1)/--(FIND("VERIFICACIÓN: ", INDIRECT("'"&amp;$B23&amp;"'!$E$29:$E$45"))), 0))))),0))&lt;&gt;0,INDEX(INDIRECT("'"&amp;$B23&amp;"'!$A$29:$G$45"),MAX((IFERROR((ROW(INDIRECT("'"&amp;$B23&amp;"'!$E$29:$E$45"))-ROW(INDIRECT("'"&amp;$B23&amp;"'!$E$29"))+1)/--(IF(INDIRECT("'"&amp;$B23&amp;"'!$E$29:$E$45")&lt;&gt;"",1,0)),0))-(IFERROR((ROW(INDIRECT("'"&amp;$B23&amp;"'!$E$29:$E$45"))-ROW(INDIRECT("'"&amp;$B23&amp;"'!$E$29"))+1)/--(FIND("VERIFICACIÓN: ", INDIRECT("'"&amp;$B23&amp;"'!$E$29:$E$45"))),0))),1),0),IF(MAX((IFERROR((ROW(INDIRECT("'"&amp;$B23&amp;"'!$F$29:$F$45"))-ROW(INDIRECT("'"&amp;$B23&amp;"'!$F$29"))+1)/--(IF(INDIRECT("'"&amp;$B23&amp;"'!$F$29:$F$45")&lt;&gt;"",1,0)),0))-(IFERROR((ROW(INDIRECT("'"&amp;$B23&amp;"'!$F$29:$F$45"))-ROW(INDIRECT("'"&amp;$B23&amp;"'!$F$29"))+1)/--(FIND("VERIFICACIÓN: ", INDIRECT("'"&amp;$B23&amp;"'!$F$29:$F$45"))),0)))&lt;&gt;0,INDEX(INDIRECT("'"&amp;$B23&amp;"'!$A$29:$G$45"),MAX((IFERROR((ROW(INDIRECT("'"&amp;$B23&amp;"'!$F$29:$F$45"))-ROW(INDIRECT("'"&amp;$B23&amp;"'!$F$29"))+1)/--(IF(INDIRECT("'"&amp;$B23&amp;"'!$F$29:$F$45")&lt;&gt;"",1,0)),0))-(IFERROR((ROW(INDIRECT("'"&amp;$B23&amp;"'!$F$29:$F$45"))-ROW(INDIRECT("'"&amp;$B23&amp;"'!$F$29"))+1)/--(FIND("VERIFICACIÓN: ", INDIRECT("'"&amp;$B23&amp;"'!$F$29:$F$45"))),0))),1),0),IF(MAX(IFERROR((_xlfn._xlws.FILTER((ROW(INDIRECT("'"&amp;$B23&amp;"'!$E$29:$E$45"))-ROW(INDIRECT("'"&amp;$B23&amp;"'!$E$29"))+1)/--(IF(INDIRECT("'"&amp;$B23&amp;"'!$E$29:$E$45")&lt;&gt;"",1,0)), NOT(ISNUMBER(MATCH((ROW(INDIRECT("'"&amp;$B23&amp;"'!$E$29:$E$45"))-ROW(INDIRECT("'"&amp;$B23&amp;"'!$E$29"))+1)/--(IF(INDIRECT("'"&amp;$B23&amp;"'!$E$29:$E$45")&lt;&gt;"",1,0)), (ROW(INDIRECT("'"&amp;$B23&amp;"'!$E$29:$E$45"))-ROW(INDIRECT("'"&amp;$B23&amp;"'!$E$29"))+1)/--(FIND("VERIFICACIÓN: ", INDIRECT("'"&amp;$B23&amp;"'!$E$29:$E$45"))), 0))))),0))&lt;&gt;0,INDEX(INDIRECT("'"&amp;$B23&amp;"'!$A$29:$G$45"),MAX((IFERROR((ROW(INDIRECT("'"&amp;$B23&amp;"'!$E$29:$E$45"))-ROW(INDIRECT("'"&amp;$B23&amp;"'!$E$29"))+1)/--(IF(INDIRECT("'"&amp;$B23&amp;"'!$E$29:$E$45")&lt;&gt;"",1,0)),0))-(IFERROR((ROW(INDIRECT("'"&amp;$B23&amp;"'!$E$29:$E$45"))-ROW(INDIRECT("'"&amp;$B23&amp;"'!$E$29"))+1)/--(FIND("VERIFICACIÓN: ", INDIRECT("'"&amp;$B23&amp;"'!$E$29:$E$45"))),0))),1),0))</f>
        <v>0</v>
      </c>
      <c r="S23" s="6" t="s">
        <v>70</v>
      </c>
      <c r="T23" s="7" t="str" cm="1">
        <f t="array" aca="1" ref="T23" ca="1">IF(IF(MAX((IFERROR((ROW(INDIRECT("'"&amp;$B23&amp;"'!$F$29:$F$45"))-ROW(INDIRECT("'"&amp;$B23&amp;"'!$F$29"))+1)/--(IF(INDIRECT("'"&amp;$B23&amp;"'!$F$29:$F$45")&lt;&gt;"",1,0)),0))-(IFERROR((ROW(INDIRECT("'"&amp;$B23&amp;"'!$F$29:$F$45"))-ROW(INDIRECT("'"&amp;$B23&amp;"'!$F$29"))+1)/--(FIND("VERIFICACIÓN: ", INDIRECT("'"&amp;$B23&amp;"'!$F$29:$F$45"))),0)))&lt;&gt;0,INDEX(INDIRECT("'"&amp;$B23&amp;"'!$A$29:$G$45"),MAX((IFERROR((ROW(INDIRECT("'"&amp;$B23&amp;"'!$F$29:$F$45"))-ROW(INDIRECT("'"&amp;$B23&amp;"'!$F$29"))+1)/--(IF(INDIRECT("'"&amp;$B23&amp;"'!$F$29:$F$45")&lt;&gt;"",1,0)),0))-(IFERROR((ROW(INDIRECT("'"&amp;$B23&amp;"'!$F$29:$F$45"))-ROW(INDIRECT("'"&amp;$B23&amp;"'!$F$29"))+1)/--(FIND("VERIFICACIÓN: ", INDIRECT("'"&amp;$B23&amp;"'!$F$29:$F$45"))),0))),1),0)&gt;IF(MAX(IFERROR((_xlfn._xlws.FILTER((ROW(INDIRECT("'"&amp;$B23&amp;"'!$E$29:$E$45"))-ROW(INDIRECT("'"&amp;$B23&amp;"'!$E$29"))+1)/--(IF(INDIRECT("'"&amp;$B23&amp;"'!$E$29:$E$45")&lt;&gt;"",1,0)), NOT(ISNUMBER(MATCH((ROW(INDIRECT("'"&amp;$B23&amp;"'!$E$29:$E$45"))-ROW(INDIRECT("'"&amp;$B23&amp;"'!$E$29"))+1)/--(IF(INDIRECT("'"&amp;$B23&amp;"'!$E$29:$E$45")&lt;&gt;"",1,0)), (ROW(INDIRECT("'"&amp;$B23&amp;"'!$E$29:$E$45"))-ROW(INDIRECT("'"&amp;$B23&amp;"'!$E$29"))+1)/--(FIND("VERIFICACIÓN: ", INDIRECT("'"&amp;$B23&amp;"'!$E$29:$E$45"))), 0))))),0))&lt;&gt;0,INDEX(INDIRECT("'"&amp;$B23&amp;"'!$A$29:$G$45"),MAX((IFERROR((ROW(INDIRECT("'"&amp;$B23&amp;"'!$E$29:$E$45"))-ROW(INDIRECT("'"&amp;$B23&amp;"'!$E$29"))+1)/--(IF(INDIRECT("'"&amp;$B23&amp;"'!$E$29:$E$45")&lt;&gt;"",1,0)),0))-(IFERROR((ROW(INDIRECT("'"&amp;$B23&amp;"'!$E$29:$E$45"))-ROW(INDIRECT("'"&amp;$B23&amp;"'!$E$29"))+1)/--(FIND("VERIFICACIÓN: ", INDIRECT("'"&amp;$B23&amp;"'!$E$29:$E$45"))),0))),1),0),IF(MAX((IFERROR((ROW(INDIRECT("'"&amp;$B23&amp;"'!$F$29:$F$45"))-ROW(INDIRECT("'"&amp;$B23&amp;"'!$F$29"))+1)/--(IF(INDIRECT("'"&amp;$B23&amp;"'!$F$29:$F$45")&lt;&gt;"",1,0)),0))-(IFERROR((ROW(INDIRECT("'"&amp;$B23&amp;"'!$F$29:$F$45"))-ROW(INDIRECT("'"&amp;$B23&amp;"'!$F$29"))+1)/--(FIND("VERIFICACIÓN: ", INDIRECT("'"&amp;$B23&amp;"'!$F$29:$F$45"))),0)))&lt;&gt;0,INDEX(INDIRECT("'"&amp;$B23&amp;"'!$A$29:$G$45"),MAX((IFERROR((ROW(INDIRECT("'"&amp;$B23&amp;"'!$F$29:$F$45"))-ROW(INDIRECT("'"&amp;$B23&amp;"'!$F$29"))+1)/--(IF(INDIRECT("'"&amp;$B23&amp;"'!$F$29:$F$45")&lt;&gt;"",1,0)),0))-(IFERROR((ROW(INDIRECT("'"&amp;$B23&amp;"'!$F$29:$F$45"))-ROW(INDIRECT("'"&amp;$B23&amp;"'!$F$29"))+1)/--(FIND("VERIFICACIÓN: ", INDIRECT("'"&amp;$B23&amp;"'!$F$29:$F$45"))),0))),6),"NO DISPONIBLE"),IF(MAX(IFERROR((_xlfn._xlws.FILTER((ROW(INDIRECT("'"&amp;$B23&amp;"'!$E$29:$E$45"))-ROW(INDIRECT("'"&amp;$B23&amp;"'!$E$29"))+1)/--(IF(INDIRECT("'"&amp;$B23&amp;"'!$E$29:$E$45")&lt;&gt;"",1,0)), NOT(ISNUMBER(MATCH((ROW(INDIRECT("'"&amp;$B23&amp;"'!$E$29:$E$45"))-ROW(INDIRECT("'"&amp;$B23&amp;"'!$E$29"))+1)/--(IF(INDIRECT("'"&amp;$B23&amp;"'!$E$29:$E$45")&lt;&gt;"",1,0)), (ROW(INDIRECT("'"&amp;$B23&amp;"'!$E$29:$E$45"))-ROW(INDIRECT("'"&amp;$B23&amp;"'!$E$29"))+1)/--(FIND("VERIFICACIÓN: ", INDIRECT("'"&amp;$B23&amp;"'!$E$29:$E$45"))), 0))))),0))&lt;&gt;0,INDEX(INDIRECT("'"&amp;$B23&amp;"'!$A$29:$G$45"),MAX((IFERROR((ROW(INDIRECT("'"&amp;$B23&amp;"'!$E$29:$E$45"))-ROW(INDIRECT("'"&amp;$B23&amp;"'!$E$29"))+1)/--(IF(INDIRECT("'"&amp;$B23&amp;"'!$E$29:$E$45")&lt;&gt;"",1,0)),0))-(IFERROR((ROW(INDIRECT("'"&amp;$B23&amp;"'!$E$29:$E$45"))-ROW(INDIRECT("'"&amp;$B23&amp;"'!$E$29"))+1)/--(FIND("VERIFICACIÓN: ", INDIRECT("'"&amp;$B23&amp;"'!$E$29:$E$45"))),0))),5),"NO DISPONIBLE"))</f>
        <v>NO DISPONIBLE</v>
      </c>
      <c r="U23" s="3" t="s">
        <v>69</v>
      </c>
      <c r="V23" s="5" cm="1">
        <f t="array" aca="1" ref="V23" ca="1">IF((IFERROR(VLOOKUP(IFERROR(LOOKUP(2,1/((INDIRECT("'"&amp;$B23&amp;"'!$F$29:$F$45"))&lt;&gt;""),(INDIRECT("'"&amp;$B23&amp;"'!$F$29:$F$45"))),"NO DISPONIBLE"),CHOOSE({1,2},(INDIRECT("'"&amp;$B23&amp;"'!$F$29:$F$45")),(INDIRECT("'"&amp;$B23&amp;"'!$A$29:$A$45"))),2,0),0))&gt;(IFERROR(VLOOKUP(IFERROR(LOOKUP(2,1/((INDIRECT("'"&amp;$B23&amp;"'!$E$29:$E$45"))&lt;&gt;""),(INDIRECT("'"&amp;$B23&amp;"'!$E$29:$E$45"))),"NO DISPONIBLE"),CHOOSE({1,2},(INDIRECT("'"&amp;$B23&amp;"'!$E$29:$E$45")),(INDIRECT("'"&amp;$B23&amp;"'!$A$29:$A$45"))),2,0),0)),(IFERROR(VLOOKUP(IFERROR(LOOKUP(2,1/((INDIRECT("'"&amp;$B23&amp;"'!$F$29:$F$45"))&lt;&gt;""),(INDIRECT("'"&amp;$B23&amp;"'!$F$29:$F$45"))),"NO DISPONIBLE"),CHOOSE({1,2},(INDIRECT("'"&amp;$B23&amp;"'!$F$29:$F$45")),(INDIRECT("'"&amp;$B23&amp;"'!$A$29:$A$45"))),2,0),0)),(IFERROR(VLOOKUP(IFERROR(LOOKUP(2,1/((INDIRECT("'"&amp;$B23&amp;"'!$E$29:$E$45"))&lt;&gt;""),(INDIRECT("'"&amp;$B23&amp;"'!$E$29:$E$45"))),"NO DISPONIBLE"),CHOOSE({1,2},(INDIRECT("'"&amp;$B23&amp;"'!$E$29:$E$45")),(INDIRECT("'"&amp;$B23&amp;"'!$A$29:$A$45"))),2,0),0)))</f>
        <v>0</v>
      </c>
      <c r="W23" s="6" t="s">
        <v>70</v>
      </c>
      <c r="X23" s="7" t="str" cm="1">
        <f t="array" aca="1" ref="X23" ca="1">IF((IFERROR(VLOOKUP(IFERROR(LOOKUP(2,1/((INDIRECT("'"&amp;$B23&amp;"'!$E$29:$E$45"))&lt;&gt;""),(INDIRECT("'"&amp;$B23&amp;"'!$E$29:$E$45"))),"NO DISPONIBLE"),CHOOSE({1,2},(INDIRECT("'"&amp;$B23&amp;"'!$E$29:$E$45")),(INDIRECT("'"&amp;$B23&amp;"'!$A$29:$A$45"))),2,0),0))&gt;(IFERROR(VLOOKUP(IFERROR(LOOKUP(2,1/((INDIRECT("'"&amp;$B23&amp;"'!$F$29:$F$45"))&lt;&gt;""),(INDIRECT("'"&amp;$B23&amp;"'!$F$29:$F$45"))),"NO DISPONIBLE"),CHOOSE({1,2},(INDIRECT("'"&amp;$B23&amp;"'!$F$29:$F$45")),(INDIRECT("'"&amp;$B23&amp;"'!$A$29:$A$45"))),2,0),0)),IFERROR(LOOKUP(2,1/((INDIRECT("'"&amp;$B23&amp;"'!$E$29:$E$45"))&lt;&gt;""),(INDIRECT("'"&amp;$B23&amp;"'!$E$29:$E$45"))),"NO DISPONIBLE"),IFERROR(LOOKUP(2,1/((INDIRECT("'"&amp;$B23&amp;"'!$F$29:$F$45"))&lt;&gt;""),(INDIRECT("'"&amp;$B23&amp;"'!$F$29:$F$45"))),"NO DISPONIBLE"))</f>
        <v>NO DISPONIBLE</v>
      </c>
      <c r="Y23" s="3" t="s">
        <v>69</v>
      </c>
      <c r="Z23" s="5" cm="1">
        <f t="array" aca="1" ref="Z23" ca="1">IF((IFERROR(VLOOKUP(IFERROR(LOOKUP(2,1/((INDIRECT("'"&amp;$B23&amp;"'!$D$29:$D$45"))&lt;&gt;""),(INDIRECT("'"&amp;$B23&amp;"'!$D$29:$D$45"))),"NO DISPONIBLE"),CHOOSE({1,2},(INDIRECT("'"&amp;$B23&amp;"'!$D$29:$D$45")),(INDIRECT("'"&amp;$B23&amp;"'!$A$29:$A$45"))),2,0),0))&gt;(IFERROR(VLOOKUP(IFERROR(LOOKUP(2,1/((INDIRECT("'"&amp;$B23&amp;"'!$C$29:$C$45"))&lt;&gt;""),(INDIRECT("'"&amp;$B23&amp;"'!$C$29:$C$45"))),"NO DISPONIBLE"),CHOOSE({1,2},(INDIRECT("'"&amp;$B23&amp;"'!$C$29:$C$45")),(INDIRECT("'"&amp;$B23&amp;"'!$A$29:$A$45"))),2,0),0)),(IFERROR(VLOOKUP(IFERROR(LOOKUP(2,1/((INDIRECT("'"&amp;$B23&amp;"'!$D$29:$D$45"))&lt;&gt;""),(INDIRECT("'"&amp;$B23&amp;"'!$D$29:$D$45"))),"NO DISPONIBLE"),CHOOSE({1,2},(INDIRECT("'"&amp;$B23&amp;"'!$D$29:$D$45")),(INDIRECT("'"&amp;$B23&amp;"'!$A$29:$A$45"))),2,0),0)),(IFERROR(VLOOKUP(IFERROR(LOOKUP(2,1/((INDIRECT("'"&amp;$B23&amp;"'!$C$29:$C$45"))&lt;&gt;""),(INDIRECT("'"&amp;$B23&amp;"'!$C$29:$C$45"))),"NO DISPONIBLE"),CHOOSE({1,2},(INDIRECT("'"&amp;$B23&amp;"'!$C$29:$C$45")),(INDIRECT("'"&amp;$B23&amp;"'!$A$29:$A$45"))),2,0),0)))</f>
        <v>0</v>
      </c>
      <c r="AA23" s="6" t="s">
        <v>70</v>
      </c>
      <c r="AB23" s="7" t="str" cm="1">
        <f t="array" aca="1" ref="AB23" ca="1">IF((IFERROR(VLOOKUP(IFERROR(LOOKUP(2,1/((INDIRECT("'"&amp;$B23&amp;"'!$C$29:$C$45"))&lt;&gt;""),(INDIRECT("'"&amp;$B23&amp;"'!$C$29:$C$45"))),"NO DISPONIBLE"),CHOOSE({1,2},(INDIRECT("'"&amp;$B23&amp;"'!$C$29:$C$45")),(INDIRECT("'"&amp;$B23&amp;"'!$A$29:$A$45"))),2,0),0))&gt;(IFERROR(VLOOKUP(IFERROR(LOOKUP(2,1/((INDIRECT("'"&amp;$B23&amp;"'!$D$29:$D$45"))&lt;&gt;""),(INDIRECT("'"&amp;$B23&amp;"'!$D$29:$D$45"))),"NO DISPONIBLE"),CHOOSE({1,2},(INDIRECT("'"&amp;$B23&amp;"'!$D$29:$D$45")),(INDIRECT("'"&amp;$B23&amp;"'!$A$29:$A$45"))),2,0),0)),IFERROR(LOOKUP(2,1/((INDIRECT("'"&amp;$B23&amp;"'!$C$29:$C$45"))&lt;&gt;""),(INDIRECT("'"&amp;$B23&amp;"'!$C$29:$C$45"))),"NO DISPONIBLE"),IFERROR(LOOKUP(2,1/((INDIRECT("'"&amp;$B23&amp;"'!$D$29:$D$45"))&lt;&gt;""),(INDIRECT("'"&amp;$B23&amp;"'!$D$29:$D$45"))),"NO DISPONIBLE"))</f>
        <v>NO DISPONIBLE</v>
      </c>
      <c r="AC23" s="6" t="s">
        <v>82</v>
      </c>
      <c r="AD23" s="8"/>
    </row>
    <row r="24" spans="1:30" x14ac:dyDescent="0.3">
      <c r="A24" s="2" t="s">
        <v>39</v>
      </c>
      <c r="B24" s="2" t="str" cm="1">
        <f t="array" aca="1" ref="B24" ca="1">INDIRECT("'"&amp;$B24&amp;"'!$A$6")</f>
        <v>TERMOHIGRÓMETRO</v>
      </c>
      <c r="C24" s="3" t="str" cm="1">
        <f t="array" aca="1" ref="C24" ca="1">INDIRECT("'"&amp;$B24&amp;"'!$G$14")</f>
        <v>HERALD &amp; BARNES</v>
      </c>
      <c r="D24" s="3" t="str" cm="1">
        <f t="array" aca="1" ref="D24" ca="1">INDIRECT("'"&amp;$B24&amp;"'!$G$15")</f>
        <v>26-3076734</v>
      </c>
      <c r="E24" s="24" cm="1">
        <f t="array" aca="1" ref="E24" ca="1">INDIRECT("'"&amp;$B24&amp;"'!$G$16")</f>
        <v>66788368143</v>
      </c>
      <c r="F24" s="3" t="s">
        <v>65</v>
      </c>
      <c r="G24" s="3" t="s">
        <v>67</v>
      </c>
      <c r="H24" s="3" t="str" cm="1">
        <f t="array" aca="1" ref="H24" ca="1">INDIRECT("'"&amp;$B24&amp;"'!$G$11")</f>
        <v>TEMPERATURA</v>
      </c>
      <c r="I24" s="3" t="str" cm="1">
        <f t="array" aca="1" ref="I24" ca="1">INDIRECT("'"&amp;$B24&amp;"'!$C$11")</f>
        <v>ALTA</v>
      </c>
      <c r="J24" s="3" t="str" cm="1">
        <f t="array" aca="1" ref="J24" ca="1">INDIRECT("'"&amp;$B24&amp;"'!$G$21")</f>
        <v>99°C</v>
      </c>
      <c r="K24" s="3" t="str" cm="1">
        <f t="array" aca="1" ref="K24" ca="1">INDIRECT("'"&amp;$B24&amp;"'!$G$22")</f>
        <v>N/A</v>
      </c>
      <c r="L24" s="3" t="str" cm="1">
        <f t="array" aca="1" ref="L24" ca="1">INDIRECT("'"&amp;$B24&amp;"'!$G$23")</f>
        <v>0,1°C</v>
      </c>
      <c r="M24" s="4"/>
      <c r="N24" s="3" t="str" cm="1">
        <f t="array" aca="1" ref="N24" ca="1">INDIRECT("'"&amp;$B24&amp;"'!$G$22")</f>
        <v>N/A</v>
      </c>
      <c r="O24" s="3"/>
      <c r="P24" s="7" t="str" cm="1">
        <f t="array" aca="1" ref="P24" ca="1">IFERROR(LOOKUP(2,1/((INDIRECT("'"&amp;$B24&amp;"'!$G$29:$G$45"))&lt;&gt;""),(INDIRECT("'"&amp;$B24&amp;"'!$G$29:$G$45"))),"NO DISPONIBLE")</f>
        <v>FUNCIONAL</v>
      </c>
      <c r="Q24" s="3" t="s">
        <v>69</v>
      </c>
      <c r="R24" s="5" cm="1">
        <f t="array" aca="1" ref="R24" ca="1">IF(IF(MAX((IFERROR((ROW(INDIRECT("'"&amp;$B24&amp;"'!$F$29:$F$45"))-ROW(INDIRECT("'"&amp;$B24&amp;"'!$F$29"))+1)/--(IF(INDIRECT("'"&amp;$B24&amp;"'!$F$29:$F$45")&lt;&gt;"",1,0)),0))-(IFERROR((ROW(INDIRECT("'"&amp;$B24&amp;"'!$F$29:$F$45"))-ROW(INDIRECT("'"&amp;$B24&amp;"'!$F$29"))+1)/--(FIND("VERIFICACIÓN: ", INDIRECT("'"&amp;$B24&amp;"'!$F$29:$F$45"))),0)))&lt;&gt;0,INDEX(INDIRECT("'"&amp;$B24&amp;"'!$A$29:$G$45"),MAX((IFERROR((ROW(INDIRECT("'"&amp;$B24&amp;"'!$F$29:$F$45"))-ROW(INDIRECT("'"&amp;$B24&amp;"'!$F$29"))+1)/--(IF(INDIRECT("'"&amp;$B24&amp;"'!$F$29:$F$45")&lt;&gt;"",1,0)),0))-(IFERROR((ROW(INDIRECT("'"&amp;$B24&amp;"'!$F$29:$F$45"))-ROW(INDIRECT("'"&amp;$B24&amp;"'!$F$29"))+1)/--(FIND("VERIFICACIÓN: ", INDIRECT("'"&amp;$B24&amp;"'!$F$29:$F$45"))),0))),1),0)&gt;IF(MAX(IFERROR((_xlfn._xlws.FILTER((ROW(INDIRECT("'"&amp;$B24&amp;"'!$E$29:$E$45"))-ROW(INDIRECT("'"&amp;$B24&amp;"'!$E$29"))+1)/--(IF(INDIRECT("'"&amp;$B24&amp;"'!$E$29:$E$45")&lt;&gt;"",1,0)), NOT(ISNUMBER(MATCH((ROW(INDIRECT("'"&amp;$B24&amp;"'!$E$29:$E$45"))-ROW(INDIRECT("'"&amp;$B24&amp;"'!$E$29"))+1)/--(IF(INDIRECT("'"&amp;$B24&amp;"'!$E$29:$E$45")&lt;&gt;"",1,0)), (ROW(INDIRECT("'"&amp;$B24&amp;"'!$E$29:$E$45"))-ROW(INDIRECT("'"&amp;$B24&amp;"'!$E$29"))+1)/--(FIND("VERIFICACIÓN: ", INDIRECT("'"&amp;$B24&amp;"'!$E$29:$E$45"))), 0))))),0))&lt;&gt;0,INDEX(INDIRECT("'"&amp;$B24&amp;"'!$A$29:$G$45"),MAX((IFERROR((ROW(INDIRECT("'"&amp;$B24&amp;"'!$E$29:$E$45"))-ROW(INDIRECT("'"&amp;$B24&amp;"'!$E$29"))+1)/--(IF(INDIRECT("'"&amp;$B24&amp;"'!$E$29:$E$45")&lt;&gt;"",1,0)),0))-(IFERROR((ROW(INDIRECT("'"&amp;$B24&amp;"'!$E$29:$E$45"))-ROW(INDIRECT("'"&amp;$B24&amp;"'!$E$29"))+1)/--(FIND("VERIFICACIÓN: ", INDIRECT("'"&amp;$B24&amp;"'!$E$29:$E$45"))),0))),1),0),IF(MAX((IFERROR((ROW(INDIRECT("'"&amp;$B24&amp;"'!$F$29:$F$45"))-ROW(INDIRECT("'"&amp;$B24&amp;"'!$F$29"))+1)/--(IF(INDIRECT("'"&amp;$B24&amp;"'!$F$29:$F$45")&lt;&gt;"",1,0)),0))-(IFERROR((ROW(INDIRECT("'"&amp;$B24&amp;"'!$F$29:$F$45"))-ROW(INDIRECT("'"&amp;$B24&amp;"'!$F$29"))+1)/--(FIND("VERIFICACIÓN: ", INDIRECT("'"&amp;$B24&amp;"'!$F$29:$F$45"))),0)))&lt;&gt;0,INDEX(INDIRECT("'"&amp;$B24&amp;"'!$A$29:$G$45"),MAX((IFERROR((ROW(INDIRECT("'"&amp;$B24&amp;"'!$F$29:$F$45"))-ROW(INDIRECT("'"&amp;$B24&amp;"'!$F$29"))+1)/--(IF(INDIRECT("'"&amp;$B24&amp;"'!$F$29:$F$45")&lt;&gt;"",1,0)),0))-(IFERROR((ROW(INDIRECT("'"&amp;$B24&amp;"'!$F$29:$F$45"))-ROW(INDIRECT("'"&amp;$B24&amp;"'!$F$29"))+1)/--(FIND("VERIFICACIÓN: ", INDIRECT("'"&amp;$B24&amp;"'!$F$29:$F$45"))),0))),1),0),IF(MAX(IFERROR((_xlfn._xlws.FILTER((ROW(INDIRECT("'"&amp;$B24&amp;"'!$E$29:$E$45"))-ROW(INDIRECT("'"&amp;$B24&amp;"'!$E$29"))+1)/--(IF(INDIRECT("'"&amp;$B24&amp;"'!$E$29:$E$45")&lt;&gt;"",1,0)), NOT(ISNUMBER(MATCH((ROW(INDIRECT("'"&amp;$B24&amp;"'!$E$29:$E$45"))-ROW(INDIRECT("'"&amp;$B24&amp;"'!$E$29"))+1)/--(IF(INDIRECT("'"&amp;$B24&amp;"'!$E$29:$E$45")&lt;&gt;"",1,0)), (ROW(INDIRECT("'"&amp;$B24&amp;"'!$E$29:$E$45"))-ROW(INDIRECT("'"&amp;$B24&amp;"'!$E$29"))+1)/--(FIND("VERIFICACIÓN: ", INDIRECT("'"&amp;$B24&amp;"'!$E$29:$E$45"))), 0))))),0))&lt;&gt;0,INDEX(INDIRECT("'"&amp;$B24&amp;"'!$A$29:$G$45"),MAX((IFERROR((ROW(INDIRECT("'"&amp;$B24&amp;"'!$E$29:$E$45"))-ROW(INDIRECT("'"&amp;$B24&amp;"'!$E$29"))+1)/--(IF(INDIRECT("'"&amp;$B24&amp;"'!$E$29:$E$45")&lt;&gt;"",1,0)),0))-(IFERROR((ROW(INDIRECT("'"&amp;$B24&amp;"'!$E$29:$E$45"))-ROW(INDIRECT("'"&amp;$B24&amp;"'!$E$29"))+1)/--(FIND("VERIFICACIÓN: ", INDIRECT("'"&amp;$B24&amp;"'!$E$29:$E$45"))),0))),1),0))</f>
        <v>0</v>
      </c>
      <c r="S24" s="6" t="s">
        <v>70</v>
      </c>
      <c r="T24" s="7" t="str" cm="1">
        <f t="array" aca="1" ref="T24" ca="1">IF(IF(MAX((IFERROR((ROW(INDIRECT("'"&amp;$B24&amp;"'!$F$29:$F$45"))-ROW(INDIRECT("'"&amp;$B24&amp;"'!$F$29"))+1)/--(IF(INDIRECT("'"&amp;$B24&amp;"'!$F$29:$F$45")&lt;&gt;"",1,0)),0))-(IFERROR((ROW(INDIRECT("'"&amp;$B24&amp;"'!$F$29:$F$45"))-ROW(INDIRECT("'"&amp;$B24&amp;"'!$F$29"))+1)/--(FIND("VERIFICACIÓN: ", INDIRECT("'"&amp;$B24&amp;"'!$F$29:$F$45"))),0)))&lt;&gt;0,INDEX(INDIRECT("'"&amp;$B24&amp;"'!$A$29:$G$45"),MAX((IFERROR((ROW(INDIRECT("'"&amp;$B24&amp;"'!$F$29:$F$45"))-ROW(INDIRECT("'"&amp;$B24&amp;"'!$F$29"))+1)/--(IF(INDIRECT("'"&amp;$B24&amp;"'!$F$29:$F$45")&lt;&gt;"",1,0)),0))-(IFERROR((ROW(INDIRECT("'"&amp;$B24&amp;"'!$F$29:$F$45"))-ROW(INDIRECT("'"&amp;$B24&amp;"'!$F$29"))+1)/--(FIND("VERIFICACIÓN: ", INDIRECT("'"&amp;$B24&amp;"'!$F$29:$F$45"))),0))),1),0)&gt;IF(MAX(IFERROR((_xlfn._xlws.FILTER((ROW(INDIRECT("'"&amp;$B24&amp;"'!$E$29:$E$45"))-ROW(INDIRECT("'"&amp;$B24&amp;"'!$E$29"))+1)/--(IF(INDIRECT("'"&amp;$B24&amp;"'!$E$29:$E$45")&lt;&gt;"",1,0)), NOT(ISNUMBER(MATCH((ROW(INDIRECT("'"&amp;$B24&amp;"'!$E$29:$E$45"))-ROW(INDIRECT("'"&amp;$B24&amp;"'!$E$29"))+1)/--(IF(INDIRECT("'"&amp;$B24&amp;"'!$E$29:$E$45")&lt;&gt;"",1,0)), (ROW(INDIRECT("'"&amp;$B24&amp;"'!$E$29:$E$45"))-ROW(INDIRECT("'"&amp;$B24&amp;"'!$E$29"))+1)/--(FIND("VERIFICACIÓN: ", INDIRECT("'"&amp;$B24&amp;"'!$E$29:$E$45"))), 0))))),0))&lt;&gt;0,INDEX(INDIRECT("'"&amp;$B24&amp;"'!$A$29:$G$45"),MAX((IFERROR((ROW(INDIRECT("'"&amp;$B24&amp;"'!$E$29:$E$45"))-ROW(INDIRECT("'"&amp;$B24&amp;"'!$E$29"))+1)/--(IF(INDIRECT("'"&amp;$B24&amp;"'!$E$29:$E$45")&lt;&gt;"",1,0)),0))-(IFERROR((ROW(INDIRECT("'"&amp;$B24&amp;"'!$E$29:$E$45"))-ROW(INDIRECT("'"&amp;$B24&amp;"'!$E$29"))+1)/--(FIND("VERIFICACIÓN: ", INDIRECT("'"&amp;$B24&amp;"'!$E$29:$E$45"))),0))),1),0),IF(MAX((IFERROR((ROW(INDIRECT("'"&amp;$B24&amp;"'!$F$29:$F$45"))-ROW(INDIRECT("'"&amp;$B24&amp;"'!$F$29"))+1)/--(IF(INDIRECT("'"&amp;$B24&amp;"'!$F$29:$F$45")&lt;&gt;"",1,0)),0))-(IFERROR((ROW(INDIRECT("'"&amp;$B24&amp;"'!$F$29:$F$45"))-ROW(INDIRECT("'"&amp;$B24&amp;"'!$F$29"))+1)/--(FIND("VERIFICACIÓN: ", INDIRECT("'"&amp;$B24&amp;"'!$F$29:$F$45"))),0)))&lt;&gt;0,INDEX(INDIRECT("'"&amp;$B24&amp;"'!$A$29:$G$45"),MAX((IFERROR((ROW(INDIRECT("'"&amp;$B24&amp;"'!$F$29:$F$45"))-ROW(INDIRECT("'"&amp;$B24&amp;"'!$F$29"))+1)/--(IF(INDIRECT("'"&amp;$B24&amp;"'!$F$29:$F$45")&lt;&gt;"",1,0)),0))-(IFERROR((ROW(INDIRECT("'"&amp;$B24&amp;"'!$F$29:$F$45"))-ROW(INDIRECT("'"&amp;$B24&amp;"'!$F$29"))+1)/--(FIND("VERIFICACIÓN: ", INDIRECT("'"&amp;$B24&amp;"'!$F$29:$F$45"))),0))),6),"NO DISPONIBLE"),IF(MAX(IFERROR((_xlfn._xlws.FILTER((ROW(INDIRECT("'"&amp;$B24&amp;"'!$E$29:$E$45"))-ROW(INDIRECT("'"&amp;$B24&amp;"'!$E$29"))+1)/--(IF(INDIRECT("'"&amp;$B24&amp;"'!$E$29:$E$45")&lt;&gt;"",1,0)), NOT(ISNUMBER(MATCH((ROW(INDIRECT("'"&amp;$B24&amp;"'!$E$29:$E$45"))-ROW(INDIRECT("'"&amp;$B24&amp;"'!$E$29"))+1)/--(IF(INDIRECT("'"&amp;$B24&amp;"'!$E$29:$E$45")&lt;&gt;"",1,0)), (ROW(INDIRECT("'"&amp;$B24&amp;"'!$E$29:$E$45"))-ROW(INDIRECT("'"&amp;$B24&amp;"'!$E$29"))+1)/--(FIND("VERIFICACIÓN: ", INDIRECT("'"&amp;$B24&amp;"'!$E$29:$E$45"))), 0))))),0))&lt;&gt;0,INDEX(INDIRECT("'"&amp;$B24&amp;"'!$A$29:$G$45"),MAX((IFERROR((ROW(INDIRECT("'"&amp;$B24&amp;"'!$E$29:$E$45"))-ROW(INDIRECT("'"&amp;$B24&amp;"'!$E$29"))+1)/--(IF(INDIRECT("'"&amp;$B24&amp;"'!$E$29:$E$45")&lt;&gt;"",1,0)),0))-(IFERROR((ROW(INDIRECT("'"&amp;$B24&amp;"'!$E$29:$E$45"))-ROW(INDIRECT("'"&amp;$B24&amp;"'!$E$29"))+1)/--(FIND("VERIFICACIÓN: ", INDIRECT("'"&amp;$B24&amp;"'!$E$29:$E$45"))),0))),5),"NO DISPONIBLE"))</f>
        <v>NO DISPONIBLE</v>
      </c>
      <c r="U24" s="3" t="s">
        <v>69</v>
      </c>
      <c r="V24" s="5" cm="1">
        <f t="array" aca="1" ref="V24" ca="1">IF((IFERROR(VLOOKUP(IFERROR(LOOKUP(2,1/((INDIRECT("'"&amp;$B24&amp;"'!$F$29:$F$45"))&lt;&gt;""),(INDIRECT("'"&amp;$B24&amp;"'!$F$29:$F$45"))),"NO DISPONIBLE"),CHOOSE({1,2},(INDIRECT("'"&amp;$B24&amp;"'!$F$29:$F$45")),(INDIRECT("'"&amp;$B24&amp;"'!$A$29:$A$45"))),2,0),0))&gt;(IFERROR(VLOOKUP(IFERROR(LOOKUP(2,1/((INDIRECT("'"&amp;$B24&amp;"'!$E$29:$E$45"))&lt;&gt;""),(INDIRECT("'"&amp;$B24&amp;"'!$E$29:$E$45"))),"NO DISPONIBLE"),CHOOSE({1,2},(INDIRECT("'"&amp;$B24&amp;"'!$E$29:$E$45")),(INDIRECT("'"&amp;$B24&amp;"'!$A$29:$A$45"))),2,0),0)),(IFERROR(VLOOKUP(IFERROR(LOOKUP(2,1/((INDIRECT("'"&amp;$B24&amp;"'!$F$29:$F$45"))&lt;&gt;""),(INDIRECT("'"&amp;$B24&amp;"'!$F$29:$F$45"))),"NO DISPONIBLE"),CHOOSE({1,2},(INDIRECT("'"&amp;$B24&amp;"'!$F$29:$F$45")),(INDIRECT("'"&amp;$B24&amp;"'!$A$29:$A$45"))),2,0),0)),(IFERROR(VLOOKUP(IFERROR(LOOKUP(2,1/((INDIRECT("'"&amp;$B24&amp;"'!$E$29:$E$45"))&lt;&gt;""),(INDIRECT("'"&amp;$B24&amp;"'!$E$29:$E$45"))),"NO DISPONIBLE"),CHOOSE({1,2},(INDIRECT("'"&amp;$B24&amp;"'!$E$29:$E$45")),(INDIRECT("'"&amp;$B24&amp;"'!$A$29:$A$45"))),2,0),0)))</f>
        <v>0</v>
      </c>
      <c r="W24" s="6" t="s">
        <v>70</v>
      </c>
      <c r="X24" s="7" t="str" cm="1">
        <f t="array" aca="1" ref="X24" ca="1">IF((IFERROR(VLOOKUP(IFERROR(LOOKUP(2,1/((INDIRECT("'"&amp;$B24&amp;"'!$E$29:$E$45"))&lt;&gt;""),(INDIRECT("'"&amp;$B24&amp;"'!$E$29:$E$45"))),"NO DISPONIBLE"),CHOOSE({1,2},(INDIRECT("'"&amp;$B24&amp;"'!$E$29:$E$45")),(INDIRECT("'"&amp;$B24&amp;"'!$A$29:$A$45"))),2,0),0))&gt;(IFERROR(VLOOKUP(IFERROR(LOOKUP(2,1/((INDIRECT("'"&amp;$B24&amp;"'!$F$29:$F$45"))&lt;&gt;""),(INDIRECT("'"&amp;$B24&amp;"'!$F$29:$F$45"))),"NO DISPONIBLE"),CHOOSE({1,2},(INDIRECT("'"&amp;$B24&amp;"'!$F$29:$F$45")),(INDIRECT("'"&amp;$B24&amp;"'!$A$29:$A$45"))),2,0),0)),IFERROR(LOOKUP(2,1/((INDIRECT("'"&amp;$B24&amp;"'!$E$29:$E$45"))&lt;&gt;""),(INDIRECT("'"&amp;$B24&amp;"'!$E$29:$E$45"))),"NO DISPONIBLE"),IFERROR(LOOKUP(2,1/((INDIRECT("'"&amp;$B24&amp;"'!$F$29:$F$45"))&lt;&gt;""),(INDIRECT("'"&amp;$B24&amp;"'!$F$29:$F$45"))),"NO DISPONIBLE"))</f>
        <v>NO DISPONIBLE</v>
      </c>
      <c r="Y24" s="3" t="s">
        <v>69</v>
      </c>
      <c r="Z24" s="5" cm="1">
        <f t="array" aca="1" ref="Z24" ca="1">IF((IFERROR(VLOOKUP(IFERROR(LOOKUP(2,1/((INDIRECT("'"&amp;$B24&amp;"'!$D$29:$D$45"))&lt;&gt;""),(INDIRECT("'"&amp;$B24&amp;"'!$D$29:$D$45"))),"NO DISPONIBLE"),CHOOSE({1,2},(INDIRECT("'"&amp;$B24&amp;"'!$D$29:$D$45")),(INDIRECT("'"&amp;$B24&amp;"'!$A$29:$A$45"))),2,0),0))&gt;(IFERROR(VLOOKUP(IFERROR(LOOKUP(2,1/((INDIRECT("'"&amp;$B24&amp;"'!$C$29:$C$45"))&lt;&gt;""),(INDIRECT("'"&amp;$B24&amp;"'!$C$29:$C$45"))),"NO DISPONIBLE"),CHOOSE({1,2},(INDIRECT("'"&amp;$B24&amp;"'!$C$29:$C$45")),(INDIRECT("'"&amp;$B24&amp;"'!$A$29:$A$45"))),2,0),0)),(IFERROR(VLOOKUP(IFERROR(LOOKUP(2,1/((INDIRECT("'"&amp;$B24&amp;"'!$D$29:$D$45"))&lt;&gt;""),(INDIRECT("'"&amp;$B24&amp;"'!$D$29:$D$45"))),"NO DISPONIBLE"),CHOOSE({1,2},(INDIRECT("'"&amp;$B24&amp;"'!$D$29:$D$45")),(INDIRECT("'"&amp;$B24&amp;"'!$A$29:$A$45"))),2,0),0)),(IFERROR(VLOOKUP(IFERROR(LOOKUP(2,1/((INDIRECT("'"&amp;$B24&amp;"'!$C$29:$C$45"))&lt;&gt;""),(INDIRECT("'"&amp;$B24&amp;"'!$C$29:$C$45"))),"NO DISPONIBLE"),CHOOSE({1,2},(INDIRECT("'"&amp;$B24&amp;"'!$C$29:$C$45")),(INDIRECT("'"&amp;$B24&amp;"'!$A$29:$A$45"))),2,0),0)))</f>
        <v>0</v>
      </c>
      <c r="AA24" s="6" t="s">
        <v>70</v>
      </c>
      <c r="AB24" s="7" t="str" cm="1">
        <f t="array" aca="1" ref="AB24" ca="1">IF((IFERROR(VLOOKUP(IFERROR(LOOKUP(2,1/((INDIRECT("'"&amp;$B24&amp;"'!$C$29:$C$45"))&lt;&gt;""),(INDIRECT("'"&amp;$B24&amp;"'!$C$29:$C$45"))),"NO DISPONIBLE"),CHOOSE({1,2},(INDIRECT("'"&amp;$B24&amp;"'!$C$29:$C$45")),(INDIRECT("'"&amp;$B24&amp;"'!$A$29:$A$45"))),2,0),0))&gt;(IFERROR(VLOOKUP(IFERROR(LOOKUP(2,1/((INDIRECT("'"&amp;$B24&amp;"'!$D$29:$D$45"))&lt;&gt;""),(INDIRECT("'"&amp;$B24&amp;"'!$D$29:$D$45"))),"NO DISPONIBLE"),CHOOSE({1,2},(INDIRECT("'"&amp;$B24&amp;"'!$D$29:$D$45")),(INDIRECT("'"&amp;$B24&amp;"'!$A$29:$A$45"))),2,0),0)),IFERROR(LOOKUP(2,1/((INDIRECT("'"&amp;$B24&amp;"'!$C$29:$C$45"))&lt;&gt;""),(INDIRECT("'"&amp;$B24&amp;"'!$C$29:$C$45"))),"NO DISPONIBLE"),IFERROR(LOOKUP(2,1/((INDIRECT("'"&amp;$B24&amp;"'!$D$29:$D$45"))&lt;&gt;""),(INDIRECT("'"&amp;$B24&amp;"'!$D$29:$D$45"))),"NO DISPONIBLE"))</f>
        <v>NO DISPONIBLE</v>
      </c>
      <c r="AC24" s="6" t="s">
        <v>82</v>
      </c>
      <c r="AD24" s="8"/>
    </row>
    <row r="25" spans="1:30" x14ac:dyDescent="0.3">
      <c r="A25" s="2" t="s">
        <v>40</v>
      </c>
      <c r="B25" s="2" t="str" cm="1">
        <f t="array" aca="1" ref="B25" ca="1">INDIRECT("'"&amp;$B25&amp;"'!$A$6")</f>
        <v>TERMOMETRO INFRAROJO</v>
      </c>
      <c r="C25" s="3" t="str" cm="1">
        <f t="array" aca="1" ref="C25" ca="1">INDIRECT("'"&amp;$B25&amp;"'!$G$14")</f>
        <v xml:space="preserve">FLUKE </v>
      </c>
      <c r="D25" s="3" t="str" cm="1">
        <f t="array" aca="1" ref="D25" ca="1">INDIRECT("'"&amp;$B25&amp;"'!$G$15")</f>
        <v>62 MAX</v>
      </c>
      <c r="E25" s="24" t="str" cm="1">
        <f t="array" aca="1" ref="E25" ca="1">INDIRECT("'"&amp;$B25&amp;"'!$G$16")</f>
        <v>48200968MV</v>
      </c>
      <c r="F25" s="3" t="s">
        <v>66</v>
      </c>
      <c r="G25" s="3" t="s">
        <v>67</v>
      </c>
      <c r="H25" s="3" t="str" cm="1">
        <f t="array" aca="1" ref="H25" ca="1">INDIRECT("'"&amp;$B25&amp;"'!$G$11")</f>
        <v>TEMPERATURA</v>
      </c>
      <c r="I25" s="3" t="str" cm="1">
        <f t="array" aca="1" ref="I25" ca="1">INDIRECT("'"&amp;$B25&amp;"'!$C$11")</f>
        <v>MEDIA</v>
      </c>
      <c r="J25" s="3" t="str" cm="1">
        <f t="array" aca="1" ref="J25" ca="1">INDIRECT("'"&amp;$B25&amp;"'!$G$21")</f>
        <v>750 °C</v>
      </c>
      <c r="K25" s="3" t="str" cm="1">
        <f t="array" aca="1" ref="K25" ca="1">INDIRECT("'"&amp;$B25&amp;"'!$G$22")</f>
        <v>- 20 °C</v>
      </c>
      <c r="L25" s="3" t="str" cm="1">
        <f t="array" aca="1" ref="L25" ca="1">INDIRECT("'"&amp;$B25&amp;"'!$G$23")</f>
        <v>0,1 °C</v>
      </c>
      <c r="M25" s="4"/>
      <c r="N25" s="3" t="str" cm="1">
        <f t="array" aca="1" ref="N25" ca="1">INDIRECT("'"&amp;$B25&amp;"'!$G$22")</f>
        <v>- 20 °C</v>
      </c>
      <c r="O25" s="3"/>
      <c r="P25" s="7" t="str" cm="1">
        <f t="array" aca="1" ref="P25" ca="1">IFERROR(LOOKUP(2,1/((INDIRECT("'"&amp;$B25&amp;"'!$G$29:$G$45"))&lt;&gt;""),(INDIRECT("'"&amp;$B25&amp;"'!$G$29:$G$45"))),"NO DISPONIBLE")</f>
        <v>FUNCIONAL</v>
      </c>
      <c r="Q25" s="3">
        <v>36</v>
      </c>
      <c r="R25" s="5" cm="1">
        <f t="array" aca="1" ref="R25" ca="1">IF(IF(MAX((IFERROR((ROW(INDIRECT("'"&amp;$B25&amp;"'!$F$29:$F$45"))-ROW(INDIRECT("'"&amp;$B25&amp;"'!$F$29"))+1)/--(IF(INDIRECT("'"&amp;$B25&amp;"'!$F$29:$F$45")&lt;&gt;"",1,0)),0))-(IFERROR((ROW(INDIRECT("'"&amp;$B25&amp;"'!$F$29:$F$45"))-ROW(INDIRECT("'"&amp;$B25&amp;"'!$F$29"))+1)/--(FIND("VERIFICACIÓN: ", INDIRECT("'"&amp;$B25&amp;"'!$F$29:$F$45"))),0)))&lt;&gt;0,INDEX(INDIRECT("'"&amp;$B25&amp;"'!$A$29:$G$45"),MAX((IFERROR((ROW(INDIRECT("'"&amp;$B25&amp;"'!$F$29:$F$45"))-ROW(INDIRECT("'"&amp;$B25&amp;"'!$F$29"))+1)/--(IF(INDIRECT("'"&amp;$B25&amp;"'!$F$29:$F$45")&lt;&gt;"",1,0)),0))-(IFERROR((ROW(INDIRECT("'"&amp;$B25&amp;"'!$F$29:$F$45"))-ROW(INDIRECT("'"&amp;$B25&amp;"'!$F$29"))+1)/--(FIND("VERIFICACIÓN: ", INDIRECT("'"&amp;$B25&amp;"'!$F$29:$F$45"))),0))),1),0)&gt;IF(MAX(IFERROR((_xlfn._xlws.FILTER((ROW(INDIRECT("'"&amp;$B25&amp;"'!$E$29:$E$45"))-ROW(INDIRECT("'"&amp;$B25&amp;"'!$E$29"))+1)/--(IF(INDIRECT("'"&amp;$B25&amp;"'!$E$29:$E$45")&lt;&gt;"",1,0)), NOT(ISNUMBER(MATCH((ROW(INDIRECT("'"&amp;$B25&amp;"'!$E$29:$E$45"))-ROW(INDIRECT("'"&amp;$B25&amp;"'!$E$29"))+1)/--(IF(INDIRECT("'"&amp;$B25&amp;"'!$E$29:$E$45")&lt;&gt;"",1,0)), (ROW(INDIRECT("'"&amp;$B25&amp;"'!$E$29:$E$45"))-ROW(INDIRECT("'"&amp;$B25&amp;"'!$E$29"))+1)/--(FIND("VERIFICACIÓN: ", INDIRECT("'"&amp;$B25&amp;"'!$E$29:$E$45"))), 0))))),0))&lt;&gt;0,INDEX(INDIRECT("'"&amp;$B25&amp;"'!$A$29:$G$45"),MAX((IFERROR((ROW(INDIRECT("'"&amp;$B25&amp;"'!$E$29:$E$45"))-ROW(INDIRECT("'"&amp;$B25&amp;"'!$E$29"))+1)/--(IF(INDIRECT("'"&amp;$B25&amp;"'!$E$29:$E$45")&lt;&gt;"",1,0)),0))-(IFERROR((ROW(INDIRECT("'"&amp;$B25&amp;"'!$E$29:$E$45"))-ROW(INDIRECT("'"&amp;$B25&amp;"'!$E$29"))+1)/--(FIND("VERIFICACIÓN: ", INDIRECT("'"&amp;$B25&amp;"'!$E$29:$E$45"))),0))),1),0),IF(MAX((IFERROR((ROW(INDIRECT("'"&amp;$B25&amp;"'!$F$29:$F$45"))-ROW(INDIRECT("'"&amp;$B25&amp;"'!$F$29"))+1)/--(IF(INDIRECT("'"&amp;$B25&amp;"'!$F$29:$F$45")&lt;&gt;"",1,0)),0))-(IFERROR((ROW(INDIRECT("'"&amp;$B25&amp;"'!$F$29:$F$45"))-ROW(INDIRECT("'"&amp;$B25&amp;"'!$F$29"))+1)/--(FIND("VERIFICACIÓN: ", INDIRECT("'"&amp;$B25&amp;"'!$F$29:$F$45"))),0)))&lt;&gt;0,INDEX(INDIRECT("'"&amp;$B25&amp;"'!$A$29:$G$45"),MAX((IFERROR((ROW(INDIRECT("'"&amp;$B25&amp;"'!$F$29:$F$45"))-ROW(INDIRECT("'"&amp;$B25&amp;"'!$F$29"))+1)/--(IF(INDIRECT("'"&amp;$B25&amp;"'!$F$29:$F$45")&lt;&gt;"",1,0)),0))-(IFERROR((ROW(INDIRECT("'"&amp;$B25&amp;"'!$F$29:$F$45"))-ROW(INDIRECT("'"&amp;$B25&amp;"'!$F$29"))+1)/--(FIND("VERIFICACIÓN: ", INDIRECT("'"&amp;$B25&amp;"'!$F$29:$F$45"))),0))),1),0),IF(MAX(IFERROR((_xlfn._xlws.FILTER((ROW(INDIRECT("'"&amp;$B25&amp;"'!$E$29:$E$45"))-ROW(INDIRECT("'"&amp;$B25&amp;"'!$E$29"))+1)/--(IF(INDIRECT("'"&amp;$B25&amp;"'!$E$29:$E$45")&lt;&gt;"",1,0)), NOT(ISNUMBER(MATCH((ROW(INDIRECT("'"&amp;$B25&amp;"'!$E$29:$E$45"))-ROW(INDIRECT("'"&amp;$B25&amp;"'!$E$29"))+1)/--(IF(INDIRECT("'"&amp;$B25&amp;"'!$E$29:$E$45")&lt;&gt;"",1,0)), (ROW(INDIRECT("'"&amp;$B25&amp;"'!$E$29:$E$45"))-ROW(INDIRECT("'"&amp;$B25&amp;"'!$E$29"))+1)/--(FIND("VERIFICACIÓN: ", INDIRECT("'"&amp;$B25&amp;"'!$E$29:$E$45"))), 0))))),0))&lt;&gt;0,INDEX(INDIRECT("'"&amp;$B25&amp;"'!$A$29:$G$45"),MAX((IFERROR((ROW(INDIRECT("'"&amp;$B25&amp;"'!$E$29:$E$45"))-ROW(INDIRECT("'"&amp;$B25&amp;"'!$E$29"))+1)/--(IF(INDIRECT("'"&amp;$B25&amp;"'!$E$29:$E$45")&lt;&gt;"",1,0)),0))-(IFERROR((ROW(INDIRECT("'"&amp;$B25&amp;"'!$E$29:$E$45"))-ROW(INDIRECT("'"&amp;$B25&amp;"'!$E$29"))+1)/--(FIND("VERIFICACIÓN: ", INDIRECT("'"&amp;$B25&amp;"'!$E$29:$E$45"))),0))),1),0))</f>
        <v>45675</v>
      </c>
      <c r="S25" s="6" t="s">
        <v>68</v>
      </c>
      <c r="T25" s="7" t="str" cm="1">
        <f t="array" aca="1" ref="T25" ca="1">IF(IF(MAX((IFERROR((ROW(INDIRECT("'"&amp;$B25&amp;"'!$F$29:$F$45"))-ROW(INDIRECT("'"&amp;$B25&amp;"'!$F$29"))+1)/--(IF(INDIRECT("'"&amp;$B25&amp;"'!$F$29:$F$45")&lt;&gt;"",1,0)),0))-(IFERROR((ROW(INDIRECT("'"&amp;$B25&amp;"'!$F$29:$F$45"))-ROW(INDIRECT("'"&amp;$B25&amp;"'!$F$29"))+1)/--(FIND("VERIFICACIÓN: ", INDIRECT("'"&amp;$B25&amp;"'!$F$29:$F$45"))),0)))&lt;&gt;0,INDEX(INDIRECT("'"&amp;$B25&amp;"'!$A$29:$G$45"),MAX((IFERROR((ROW(INDIRECT("'"&amp;$B25&amp;"'!$F$29:$F$45"))-ROW(INDIRECT("'"&amp;$B25&amp;"'!$F$29"))+1)/--(IF(INDIRECT("'"&amp;$B25&amp;"'!$F$29:$F$45")&lt;&gt;"",1,0)),0))-(IFERROR((ROW(INDIRECT("'"&amp;$B25&amp;"'!$F$29:$F$45"))-ROW(INDIRECT("'"&amp;$B25&amp;"'!$F$29"))+1)/--(FIND("VERIFICACIÓN: ", INDIRECT("'"&amp;$B25&amp;"'!$F$29:$F$45"))),0))),1),0)&gt;IF(MAX(IFERROR((_xlfn._xlws.FILTER((ROW(INDIRECT("'"&amp;$B25&amp;"'!$E$29:$E$45"))-ROW(INDIRECT("'"&amp;$B25&amp;"'!$E$29"))+1)/--(IF(INDIRECT("'"&amp;$B25&amp;"'!$E$29:$E$45")&lt;&gt;"",1,0)), NOT(ISNUMBER(MATCH((ROW(INDIRECT("'"&amp;$B25&amp;"'!$E$29:$E$45"))-ROW(INDIRECT("'"&amp;$B25&amp;"'!$E$29"))+1)/--(IF(INDIRECT("'"&amp;$B25&amp;"'!$E$29:$E$45")&lt;&gt;"",1,0)), (ROW(INDIRECT("'"&amp;$B25&amp;"'!$E$29:$E$45"))-ROW(INDIRECT("'"&amp;$B25&amp;"'!$E$29"))+1)/--(FIND("VERIFICACIÓN: ", INDIRECT("'"&amp;$B25&amp;"'!$E$29:$E$45"))), 0))))),0))&lt;&gt;0,INDEX(INDIRECT("'"&amp;$B25&amp;"'!$A$29:$G$45"),MAX((IFERROR((ROW(INDIRECT("'"&amp;$B25&amp;"'!$E$29:$E$45"))-ROW(INDIRECT("'"&amp;$B25&amp;"'!$E$29"))+1)/--(IF(INDIRECT("'"&amp;$B25&amp;"'!$E$29:$E$45")&lt;&gt;"",1,0)),0))-(IFERROR((ROW(INDIRECT("'"&amp;$B25&amp;"'!$E$29:$E$45"))-ROW(INDIRECT("'"&amp;$B25&amp;"'!$E$29"))+1)/--(FIND("VERIFICACIÓN: ", INDIRECT("'"&amp;$B25&amp;"'!$E$29:$E$45"))),0))),1),0),IF(MAX((IFERROR((ROW(INDIRECT("'"&amp;$B25&amp;"'!$F$29:$F$45"))-ROW(INDIRECT("'"&amp;$B25&amp;"'!$F$29"))+1)/--(IF(INDIRECT("'"&amp;$B25&amp;"'!$F$29:$F$45")&lt;&gt;"",1,0)),0))-(IFERROR((ROW(INDIRECT("'"&amp;$B25&amp;"'!$F$29:$F$45"))-ROW(INDIRECT("'"&amp;$B25&amp;"'!$F$29"))+1)/--(FIND("VERIFICACIÓN: ", INDIRECT("'"&amp;$B25&amp;"'!$F$29:$F$45"))),0)))&lt;&gt;0,INDEX(INDIRECT("'"&amp;$B25&amp;"'!$A$29:$G$45"),MAX((IFERROR((ROW(INDIRECT("'"&amp;$B25&amp;"'!$F$29:$F$45"))-ROW(INDIRECT("'"&amp;$B25&amp;"'!$F$29"))+1)/--(IF(INDIRECT("'"&amp;$B25&amp;"'!$F$29:$F$45")&lt;&gt;"",1,0)),0))-(IFERROR((ROW(INDIRECT("'"&amp;$B25&amp;"'!$F$29:$F$45"))-ROW(INDIRECT("'"&amp;$B25&amp;"'!$F$29"))+1)/--(FIND("VERIFICACIÓN: ", INDIRECT("'"&amp;$B25&amp;"'!$F$29:$F$45"))),0))),6),"NO DISPONIBLE"),IF(MAX(IFERROR((_xlfn._xlws.FILTER((ROW(INDIRECT("'"&amp;$B25&amp;"'!$E$29:$E$45"))-ROW(INDIRECT("'"&amp;$B25&amp;"'!$E$29"))+1)/--(IF(INDIRECT("'"&amp;$B25&amp;"'!$E$29:$E$45")&lt;&gt;"",1,0)), NOT(ISNUMBER(MATCH((ROW(INDIRECT("'"&amp;$B25&amp;"'!$E$29:$E$45"))-ROW(INDIRECT("'"&amp;$B25&amp;"'!$E$29"))+1)/--(IF(INDIRECT("'"&amp;$B25&amp;"'!$E$29:$E$45")&lt;&gt;"",1,0)), (ROW(INDIRECT("'"&amp;$B25&amp;"'!$E$29:$E$45"))-ROW(INDIRECT("'"&amp;$B25&amp;"'!$E$29"))+1)/--(FIND("VERIFICACIÓN: ", INDIRECT("'"&amp;$B25&amp;"'!$E$29:$E$45"))), 0))))),0))&lt;&gt;0,INDEX(INDIRECT("'"&amp;$B25&amp;"'!$A$29:$G$45"),MAX((IFERROR((ROW(INDIRECT("'"&amp;$B25&amp;"'!$E$29:$E$45"))-ROW(INDIRECT("'"&amp;$B25&amp;"'!$E$29"))+1)/--(IF(INDIRECT("'"&amp;$B25&amp;"'!$E$29:$E$45")&lt;&gt;"",1,0)),0))-(IFERROR((ROW(INDIRECT("'"&amp;$B25&amp;"'!$E$29:$E$45"))-ROW(INDIRECT("'"&amp;$B25&amp;"'!$E$29"))+1)/--(FIND("VERIFICACIÓN: ", INDIRECT("'"&amp;$B25&amp;"'!$E$29:$E$45"))),0))),5),"NO DISPONIBLE"))</f>
        <v>MJM</v>
      </c>
      <c r="U25" s="3">
        <v>12</v>
      </c>
      <c r="V25" s="5" cm="1">
        <f t="array" aca="1" ref="V25" ca="1">IF((IFERROR(VLOOKUP(IFERROR(LOOKUP(2,1/((INDIRECT("'"&amp;$B25&amp;"'!$F$29:$F$45"))&lt;&gt;""),(INDIRECT("'"&amp;$B25&amp;"'!$F$29:$F$45"))),"NO DISPONIBLE"),CHOOSE({1,2},(INDIRECT("'"&amp;$B25&amp;"'!$F$29:$F$45")),(INDIRECT("'"&amp;$B25&amp;"'!$A$29:$A$45"))),2,0),0))&gt;(IFERROR(VLOOKUP(IFERROR(LOOKUP(2,1/((INDIRECT("'"&amp;$B25&amp;"'!$E$29:$E$45"))&lt;&gt;""),(INDIRECT("'"&amp;$B25&amp;"'!$E$29:$E$45"))),"NO DISPONIBLE"),CHOOSE({1,2},(INDIRECT("'"&amp;$B25&amp;"'!$E$29:$E$45")),(INDIRECT("'"&amp;$B25&amp;"'!$A$29:$A$45"))),2,0),0)),(IFERROR(VLOOKUP(IFERROR(LOOKUP(2,1/((INDIRECT("'"&amp;$B25&amp;"'!$F$29:$F$45"))&lt;&gt;""),(INDIRECT("'"&amp;$B25&amp;"'!$F$29:$F$45"))),"NO DISPONIBLE"),CHOOSE({1,2},(INDIRECT("'"&amp;$B25&amp;"'!$F$29:$F$45")),(INDIRECT("'"&amp;$B25&amp;"'!$A$29:$A$45"))),2,0),0)),(IFERROR(VLOOKUP(IFERROR(LOOKUP(2,1/((INDIRECT("'"&amp;$B25&amp;"'!$E$29:$E$45"))&lt;&gt;""),(INDIRECT("'"&amp;$B25&amp;"'!$E$29:$E$45"))),"NO DISPONIBLE"),CHOOSE({1,2},(INDIRECT("'"&amp;$B25&amp;"'!$E$29:$E$45")),(INDIRECT("'"&amp;$B25&amp;"'!$A$29:$A$45"))),2,0),0)))</f>
        <v>45675</v>
      </c>
      <c r="W25" s="6" t="s">
        <v>71</v>
      </c>
      <c r="X25" s="7" t="str" cm="1">
        <f t="array" aca="1" ref="X25" ca="1">IF((IFERROR(VLOOKUP(IFERROR(LOOKUP(2,1/((INDIRECT("'"&amp;$B25&amp;"'!$E$29:$E$45"))&lt;&gt;""),(INDIRECT("'"&amp;$B25&amp;"'!$E$29:$E$45"))),"NO DISPONIBLE"),CHOOSE({1,2},(INDIRECT("'"&amp;$B25&amp;"'!$E$29:$E$45")),(INDIRECT("'"&amp;$B25&amp;"'!$A$29:$A$45"))),2,0),0))&gt;(IFERROR(VLOOKUP(IFERROR(LOOKUP(2,1/((INDIRECT("'"&amp;$B25&amp;"'!$F$29:$F$45"))&lt;&gt;""),(INDIRECT("'"&amp;$B25&amp;"'!$F$29:$F$45"))),"NO DISPONIBLE"),CHOOSE({1,2},(INDIRECT("'"&amp;$B25&amp;"'!$F$29:$F$45")),(INDIRECT("'"&amp;$B25&amp;"'!$A$29:$A$45"))),2,0),0)),IFERROR(LOOKUP(2,1/((INDIRECT("'"&amp;$B25&amp;"'!$E$29:$E$45"))&lt;&gt;""),(INDIRECT("'"&amp;$B25&amp;"'!$E$29:$E$45"))),"NO DISPONIBLE"),IFERROR(LOOKUP(2,1/((INDIRECT("'"&amp;$B25&amp;"'!$F$29:$F$45"))&lt;&gt;""),(INDIRECT("'"&amp;$B25&amp;"'!$F$29:$F$45"))),"NO DISPONIBLE"))</f>
        <v>MJM</v>
      </c>
      <c r="Y25" s="3">
        <v>36</v>
      </c>
      <c r="Z25" s="5" cm="1">
        <f t="array" aca="1" ref="Z25" ca="1">IF((IFERROR(VLOOKUP(IFERROR(LOOKUP(2,1/((INDIRECT("'"&amp;$B25&amp;"'!$D$29:$D$45"))&lt;&gt;""),(INDIRECT("'"&amp;$B25&amp;"'!$D$29:$D$45"))),"NO DISPONIBLE"),CHOOSE({1,2},(INDIRECT("'"&amp;$B25&amp;"'!$D$29:$D$45")),(INDIRECT("'"&amp;$B25&amp;"'!$A$29:$A$45"))),2,0),0))&gt;(IFERROR(VLOOKUP(IFERROR(LOOKUP(2,1/((INDIRECT("'"&amp;$B25&amp;"'!$C$29:$C$45"))&lt;&gt;""),(INDIRECT("'"&amp;$B25&amp;"'!$C$29:$C$45"))),"NO DISPONIBLE"),CHOOSE({1,2},(INDIRECT("'"&amp;$B25&amp;"'!$C$29:$C$45")),(INDIRECT("'"&amp;$B25&amp;"'!$A$29:$A$45"))),2,0),0)),(IFERROR(VLOOKUP(IFERROR(LOOKUP(2,1/((INDIRECT("'"&amp;$B25&amp;"'!$D$29:$D$45"))&lt;&gt;""),(INDIRECT("'"&amp;$B25&amp;"'!$D$29:$D$45"))),"NO DISPONIBLE"),CHOOSE({1,2},(INDIRECT("'"&amp;$B25&amp;"'!$D$29:$D$45")),(INDIRECT("'"&amp;$B25&amp;"'!$A$29:$A$45"))),2,0),0)),(IFERROR(VLOOKUP(IFERROR(LOOKUP(2,1/((INDIRECT("'"&amp;$B25&amp;"'!$C$29:$C$45"))&lt;&gt;""),(INDIRECT("'"&amp;$B25&amp;"'!$C$29:$C$45"))),"NO DISPONIBLE"),CHOOSE({1,2},(INDIRECT("'"&amp;$B25&amp;"'!$C$29:$C$45")),(INDIRECT("'"&amp;$B25&amp;"'!$A$29:$A$45"))),2,0),0)))</f>
        <v>44816</v>
      </c>
      <c r="AA25" s="6" t="s">
        <v>72</v>
      </c>
      <c r="AB25" s="7" t="str" cm="1">
        <f t="array" aca="1" ref="AB25" ca="1">IF((IFERROR(VLOOKUP(IFERROR(LOOKUP(2,1/((INDIRECT("'"&amp;$B25&amp;"'!$C$29:$C$45"))&lt;&gt;""),(INDIRECT("'"&amp;$B25&amp;"'!$C$29:$C$45"))),"NO DISPONIBLE"),CHOOSE({1,2},(INDIRECT("'"&amp;$B25&amp;"'!$C$29:$C$45")),(INDIRECT("'"&amp;$B25&amp;"'!$A$29:$A$45"))),2,0),0))&gt;(IFERROR(VLOOKUP(IFERROR(LOOKUP(2,1/((INDIRECT("'"&amp;$B25&amp;"'!$D$29:$D$45"))&lt;&gt;""),(INDIRECT("'"&amp;$B25&amp;"'!$D$29:$D$45"))),"NO DISPONIBLE"),CHOOSE({1,2},(INDIRECT("'"&amp;$B25&amp;"'!$D$29:$D$45")),(INDIRECT("'"&amp;$B25&amp;"'!$A$29:$A$45"))),2,0),0)),IFERROR(LOOKUP(2,1/((INDIRECT("'"&amp;$B25&amp;"'!$C$29:$C$45"))&lt;&gt;""),(INDIRECT("'"&amp;$B25&amp;"'!$C$29:$C$45"))),"NO DISPONIBLE"),IFERROR(LOOKUP(2,1/((INDIRECT("'"&amp;$B25&amp;"'!$D$29:$D$45"))&lt;&gt;""),(INDIRECT("'"&amp;$B25&amp;"'!$D$29:$D$45"))),"NO DISPONIBLE"))</f>
        <v>LMV-TEM-20-2022 / MAGNITEST</v>
      </c>
      <c r="AC25" s="6" t="s">
        <v>82</v>
      </c>
      <c r="AD25" s="8"/>
    </row>
    <row r="26" spans="1:30" x14ac:dyDescent="0.3">
      <c r="A26" s="2" t="s">
        <v>41</v>
      </c>
      <c r="B26" s="2" t="str" cm="1">
        <f t="array" aca="1" ref="B26" ca="1">INDIRECT("'"&amp;$B26&amp;"'!$A$6")</f>
        <v>TERMOMETRO INFRAROJO</v>
      </c>
      <c r="C26" s="3" t="str" cm="1">
        <f t="array" aca="1" ref="C26" ca="1">INDIRECT("'"&amp;$B26&amp;"'!$G$14")</f>
        <v>UNI-T</v>
      </c>
      <c r="D26" s="3" t="str" cm="1">
        <f t="array" aca="1" ref="D26" ca="1">INDIRECT("'"&amp;$B26&amp;"'!$G$15")</f>
        <v>UT300S</v>
      </c>
      <c r="E26" s="24" t="str" cm="1">
        <f t="array" aca="1" ref="E26" ca="1">INDIRECT("'"&amp;$B26&amp;"'!$G$16")</f>
        <v>C202807598</v>
      </c>
      <c r="F26" s="3" t="s">
        <v>66</v>
      </c>
      <c r="G26" s="3" t="s">
        <v>67</v>
      </c>
      <c r="H26" s="3" t="str" cm="1">
        <f t="array" aca="1" ref="H26" ca="1">INDIRECT("'"&amp;$B26&amp;"'!$G$11")</f>
        <v>TEMPERATURA</v>
      </c>
      <c r="I26" s="3" t="str" cm="1">
        <f t="array" aca="1" ref="I26" ca="1">INDIRECT("'"&amp;$B26&amp;"'!$C$11")</f>
        <v>MEDIA</v>
      </c>
      <c r="J26" s="3" t="str" cm="1">
        <f t="array" aca="1" ref="J26" ca="1">INDIRECT("'"&amp;$B26&amp;"'!$G$21")</f>
        <v>400 °C</v>
      </c>
      <c r="K26" s="3" t="str" cm="1">
        <f t="array" aca="1" ref="K26" ca="1">INDIRECT("'"&amp;$B26&amp;"'!$G$22")</f>
        <v>- 32 °C</v>
      </c>
      <c r="L26" s="3" t="str" cm="1">
        <f t="array" aca="1" ref="L26" ca="1">INDIRECT("'"&amp;$B26&amp;"'!$G$23")</f>
        <v>0,1 °C</v>
      </c>
      <c r="M26" s="4"/>
      <c r="N26" s="3" t="str" cm="1">
        <f t="array" aca="1" ref="N26" ca="1">INDIRECT("'"&amp;$B26&amp;"'!$G$22")</f>
        <v>- 32 °C</v>
      </c>
      <c r="O26" s="3"/>
      <c r="P26" s="7" t="str" cm="1">
        <f t="array" aca="1" ref="P26" ca="1">IFERROR(LOOKUP(2,1/((INDIRECT("'"&amp;$B26&amp;"'!$G$29:$G$45"))&lt;&gt;""),(INDIRECT("'"&amp;$B26&amp;"'!$G$29:$G$45"))),"NO DISPONIBLE")</f>
        <v>FUNCIONAL</v>
      </c>
      <c r="Q26" s="3" t="s">
        <v>69</v>
      </c>
      <c r="R26" s="5" cm="1">
        <f t="array" aca="1" ref="R26" ca="1">IF(IF(MAX((IFERROR((ROW(INDIRECT("'"&amp;$B26&amp;"'!$F$29:$F$45"))-ROW(INDIRECT("'"&amp;$B26&amp;"'!$F$29"))+1)/--(IF(INDIRECT("'"&amp;$B26&amp;"'!$F$29:$F$45")&lt;&gt;"",1,0)),0))-(IFERROR((ROW(INDIRECT("'"&amp;$B26&amp;"'!$F$29:$F$45"))-ROW(INDIRECT("'"&amp;$B26&amp;"'!$F$29"))+1)/--(FIND("VERIFICACIÓN: ", INDIRECT("'"&amp;$B26&amp;"'!$F$29:$F$45"))),0)))&lt;&gt;0,INDEX(INDIRECT("'"&amp;$B26&amp;"'!$A$29:$G$45"),MAX((IFERROR((ROW(INDIRECT("'"&amp;$B26&amp;"'!$F$29:$F$45"))-ROW(INDIRECT("'"&amp;$B26&amp;"'!$F$29"))+1)/--(IF(INDIRECT("'"&amp;$B26&amp;"'!$F$29:$F$45")&lt;&gt;"",1,0)),0))-(IFERROR((ROW(INDIRECT("'"&amp;$B26&amp;"'!$F$29:$F$45"))-ROW(INDIRECT("'"&amp;$B26&amp;"'!$F$29"))+1)/--(FIND("VERIFICACIÓN: ", INDIRECT("'"&amp;$B26&amp;"'!$F$29:$F$45"))),0))),1),0)&gt;IF(MAX(IFERROR((_xlfn._xlws.FILTER((ROW(INDIRECT("'"&amp;$B26&amp;"'!$E$29:$E$45"))-ROW(INDIRECT("'"&amp;$B26&amp;"'!$E$29"))+1)/--(IF(INDIRECT("'"&amp;$B26&amp;"'!$E$29:$E$45")&lt;&gt;"",1,0)), NOT(ISNUMBER(MATCH((ROW(INDIRECT("'"&amp;$B26&amp;"'!$E$29:$E$45"))-ROW(INDIRECT("'"&amp;$B26&amp;"'!$E$29"))+1)/--(IF(INDIRECT("'"&amp;$B26&amp;"'!$E$29:$E$45")&lt;&gt;"",1,0)), (ROW(INDIRECT("'"&amp;$B26&amp;"'!$E$29:$E$45"))-ROW(INDIRECT("'"&amp;$B26&amp;"'!$E$29"))+1)/--(FIND("VERIFICACIÓN: ", INDIRECT("'"&amp;$B26&amp;"'!$E$29:$E$45"))), 0))))),0))&lt;&gt;0,INDEX(INDIRECT("'"&amp;$B26&amp;"'!$A$29:$G$45"),MAX((IFERROR((ROW(INDIRECT("'"&amp;$B26&amp;"'!$E$29:$E$45"))-ROW(INDIRECT("'"&amp;$B26&amp;"'!$E$29"))+1)/--(IF(INDIRECT("'"&amp;$B26&amp;"'!$E$29:$E$45")&lt;&gt;"",1,0)),0))-(IFERROR((ROW(INDIRECT("'"&amp;$B26&amp;"'!$E$29:$E$45"))-ROW(INDIRECT("'"&amp;$B26&amp;"'!$E$29"))+1)/--(FIND("VERIFICACIÓN: ", INDIRECT("'"&amp;$B26&amp;"'!$E$29:$E$45"))),0))),1),0),IF(MAX((IFERROR((ROW(INDIRECT("'"&amp;$B26&amp;"'!$F$29:$F$45"))-ROW(INDIRECT("'"&amp;$B26&amp;"'!$F$29"))+1)/--(IF(INDIRECT("'"&amp;$B26&amp;"'!$F$29:$F$45")&lt;&gt;"",1,0)),0))-(IFERROR((ROW(INDIRECT("'"&amp;$B26&amp;"'!$F$29:$F$45"))-ROW(INDIRECT("'"&amp;$B26&amp;"'!$F$29"))+1)/--(FIND("VERIFICACIÓN: ", INDIRECT("'"&amp;$B26&amp;"'!$F$29:$F$45"))),0)))&lt;&gt;0,INDEX(INDIRECT("'"&amp;$B26&amp;"'!$A$29:$G$45"),MAX((IFERROR((ROW(INDIRECT("'"&amp;$B26&amp;"'!$F$29:$F$45"))-ROW(INDIRECT("'"&amp;$B26&amp;"'!$F$29"))+1)/--(IF(INDIRECT("'"&amp;$B26&amp;"'!$F$29:$F$45")&lt;&gt;"",1,0)),0))-(IFERROR((ROW(INDIRECT("'"&amp;$B26&amp;"'!$F$29:$F$45"))-ROW(INDIRECT("'"&amp;$B26&amp;"'!$F$29"))+1)/--(FIND("VERIFICACIÓN: ", INDIRECT("'"&amp;$B26&amp;"'!$F$29:$F$45"))),0))),1),0),IF(MAX(IFERROR((_xlfn._xlws.FILTER((ROW(INDIRECT("'"&amp;$B26&amp;"'!$E$29:$E$45"))-ROW(INDIRECT("'"&amp;$B26&amp;"'!$E$29"))+1)/--(IF(INDIRECT("'"&amp;$B26&amp;"'!$E$29:$E$45")&lt;&gt;"",1,0)), NOT(ISNUMBER(MATCH((ROW(INDIRECT("'"&amp;$B26&amp;"'!$E$29:$E$45"))-ROW(INDIRECT("'"&amp;$B26&amp;"'!$E$29"))+1)/--(IF(INDIRECT("'"&amp;$B26&amp;"'!$E$29:$E$45")&lt;&gt;"",1,0)), (ROW(INDIRECT("'"&amp;$B26&amp;"'!$E$29:$E$45"))-ROW(INDIRECT("'"&amp;$B26&amp;"'!$E$29"))+1)/--(FIND("VERIFICACIÓN: ", INDIRECT("'"&amp;$B26&amp;"'!$E$29:$E$45"))), 0))))),0))&lt;&gt;0,INDEX(INDIRECT("'"&amp;$B26&amp;"'!$A$29:$G$45"),MAX((IFERROR((ROW(INDIRECT("'"&amp;$B26&amp;"'!$E$29:$E$45"))-ROW(INDIRECT("'"&amp;$B26&amp;"'!$E$29"))+1)/--(IF(INDIRECT("'"&amp;$B26&amp;"'!$E$29:$E$45")&lt;&gt;"",1,0)),0))-(IFERROR((ROW(INDIRECT("'"&amp;$B26&amp;"'!$E$29:$E$45"))-ROW(INDIRECT("'"&amp;$B26&amp;"'!$E$29"))+1)/--(FIND("VERIFICACIÓN: ", INDIRECT("'"&amp;$B26&amp;"'!$E$29:$E$45"))),0))),1),0))</f>
        <v>0</v>
      </c>
      <c r="S26" s="6" t="s">
        <v>70</v>
      </c>
      <c r="T26" s="7" t="str" cm="1">
        <f t="array" aca="1" ref="T26" ca="1">IF(IF(MAX((IFERROR((ROW(INDIRECT("'"&amp;$B26&amp;"'!$F$29:$F$45"))-ROW(INDIRECT("'"&amp;$B26&amp;"'!$F$29"))+1)/--(IF(INDIRECT("'"&amp;$B26&amp;"'!$F$29:$F$45")&lt;&gt;"",1,0)),0))-(IFERROR((ROW(INDIRECT("'"&amp;$B26&amp;"'!$F$29:$F$45"))-ROW(INDIRECT("'"&amp;$B26&amp;"'!$F$29"))+1)/--(FIND("VERIFICACIÓN: ", INDIRECT("'"&amp;$B26&amp;"'!$F$29:$F$45"))),0)))&lt;&gt;0,INDEX(INDIRECT("'"&amp;$B26&amp;"'!$A$29:$G$45"),MAX((IFERROR((ROW(INDIRECT("'"&amp;$B26&amp;"'!$F$29:$F$45"))-ROW(INDIRECT("'"&amp;$B26&amp;"'!$F$29"))+1)/--(IF(INDIRECT("'"&amp;$B26&amp;"'!$F$29:$F$45")&lt;&gt;"",1,0)),0))-(IFERROR((ROW(INDIRECT("'"&amp;$B26&amp;"'!$F$29:$F$45"))-ROW(INDIRECT("'"&amp;$B26&amp;"'!$F$29"))+1)/--(FIND("VERIFICACIÓN: ", INDIRECT("'"&amp;$B26&amp;"'!$F$29:$F$45"))),0))),1),0)&gt;IF(MAX(IFERROR((_xlfn._xlws.FILTER((ROW(INDIRECT("'"&amp;$B26&amp;"'!$E$29:$E$45"))-ROW(INDIRECT("'"&amp;$B26&amp;"'!$E$29"))+1)/--(IF(INDIRECT("'"&amp;$B26&amp;"'!$E$29:$E$45")&lt;&gt;"",1,0)), NOT(ISNUMBER(MATCH((ROW(INDIRECT("'"&amp;$B26&amp;"'!$E$29:$E$45"))-ROW(INDIRECT("'"&amp;$B26&amp;"'!$E$29"))+1)/--(IF(INDIRECT("'"&amp;$B26&amp;"'!$E$29:$E$45")&lt;&gt;"",1,0)), (ROW(INDIRECT("'"&amp;$B26&amp;"'!$E$29:$E$45"))-ROW(INDIRECT("'"&amp;$B26&amp;"'!$E$29"))+1)/--(FIND("VERIFICACIÓN: ", INDIRECT("'"&amp;$B26&amp;"'!$E$29:$E$45"))), 0))))),0))&lt;&gt;0,INDEX(INDIRECT("'"&amp;$B26&amp;"'!$A$29:$G$45"),MAX((IFERROR((ROW(INDIRECT("'"&amp;$B26&amp;"'!$E$29:$E$45"))-ROW(INDIRECT("'"&amp;$B26&amp;"'!$E$29"))+1)/--(IF(INDIRECT("'"&amp;$B26&amp;"'!$E$29:$E$45")&lt;&gt;"",1,0)),0))-(IFERROR((ROW(INDIRECT("'"&amp;$B26&amp;"'!$E$29:$E$45"))-ROW(INDIRECT("'"&amp;$B26&amp;"'!$E$29"))+1)/--(FIND("VERIFICACIÓN: ", INDIRECT("'"&amp;$B26&amp;"'!$E$29:$E$45"))),0))),1),0),IF(MAX((IFERROR((ROW(INDIRECT("'"&amp;$B26&amp;"'!$F$29:$F$45"))-ROW(INDIRECT("'"&amp;$B26&amp;"'!$F$29"))+1)/--(IF(INDIRECT("'"&amp;$B26&amp;"'!$F$29:$F$45")&lt;&gt;"",1,0)),0))-(IFERROR((ROW(INDIRECT("'"&amp;$B26&amp;"'!$F$29:$F$45"))-ROW(INDIRECT("'"&amp;$B26&amp;"'!$F$29"))+1)/--(FIND("VERIFICACIÓN: ", INDIRECT("'"&amp;$B26&amp;"'!$F$29:$F$45"))),0)))&lt;&gt;0,INDEX(INDIRECT("'"&amp;$B26&amp;"'!$A$29:$G$45"),MAX((IFERROR((ROW(INDIRECT("'"&amp;$B26&amp;"'!$F$29:$F$45"))-ROW(INDIRECT("'"&amp;$B26&amp;"'!$F$29"))+1)/--(IF(INDIRECT("'"&amp;$B26&amp;"'!$F$29:$F$45")&lt;&gt;"",1,0)),0))-(IFERROR((ROW(INDIRECT("'"&amp;$B26&amp;"'!$F$29:$F$45"))-ROW(INDIRECT("'"&amp;$B26&amp;"'!$F$29"))+1)/--(FIND("VERIFICACIÓN: ", INDIRECT("'"&amp;$B26&amp;"'!$F$29:$F$45"))),0))),6),"NO DISPONIBLE"),IF(MAX(IFERROR((_xlfn._xlws.FILTER((ROW(INDIRECT("'"&amp;$B26&amp;"'!$E$29:$E$45"))-ROW(INDIRECT("'"&amp;$B26&amp;"'!$E$29"))+1)/--(IF(INDIRECT("'"&amp;$B26&amp;"'!$E$29:$E$45")&lt;&gt;"",1,0)), NOT(ISNUMBER(MATCH((ROW(INDIRECT("'"&amp;$B26&amp;"'!$E$29:$E$45"))-ROW(INDIRECT("'"&amp;$B26&amp;"'!$E$29"))+1)/--(IF(INDIRECT("'"&amp;$B26&amp;"'!$E$29:$E$45")&lt;&gt;"",1,0)), (ROW(INDIRECT("'"&amp;$B26&amp;"'!$E$29:$E$45"))-ROW(INDIRECT("'"&amp;$B26&amp;"'!$E$29"))+1)/--(FIND("VERIFICACIÓN: ", INDIRECT("'"&amp;$B26&amp;"'!$E$29:$E$45"))), 0))))),0))&lt;&gt;0,INDEX(INDIRECT("'"&amp;$B26&amp;"'!$A$29:$G$45"),MAX((IFERROR((ROW(INDIRECT("'"&amp;$B26&amp;"'!$E$29:$E$45"))-ROW(INDIRECT("'"&amp;$B26&amp;"'!$E$29"))+1)/--(IF(INDIRECT("'"&amp;$B26&amp;"'!$E$29:$E$45")&lt;&gt;"",1,0)),0))-(IFERROR((ROW(INDIRECT("'"&amp;$B26&amp;"'!$E$29:$E$45"))-ROW(INDIRECT("'"&amp;$B26&amp;"'!$E$29"))+1)/--(FIND("VERIFICACIÓN: ", INDIRECT("'"&amp;$B26&amp;"'!$E$29:$E$45"))),0))),5),"NO DISPONIBLE"))</f>
        <v>NO DISPONIBLE</v>
      </c>
      <c r="U26" s="3" t="s">
        <v>69</v>
      </c>
      <c r="V26" s="5" cm="1">
        <f t="array" aca="1" ref="V26" ca="1">IF((IFERROR(VLOOKUP(IFERROR(LOOKUP(2,1/((INDIRECT("'"&amp;$B26&amp;"'!$F$29:$F$45"))&lt;&gt;""),(INDIRECT("'"&amp;$B26&amp;"'!$F$29:$F$45"))),"NO DISPONIBLE"),CHOOSE({1,2},(INDIRECT("'"&amp;$B26&amp;"'!$F$29:$F$45")),(INDIRECT("'"&amp;$B26&amp;"'!$A$29:$A$45"))),2,0),0))&gt;(IFERROR(VLOOKUP(IFERROR(LOOKUP(2,1/((INDIRECT("'"&amp;$B26&amp;"'!$E$29:$E$45"))&lt;&gt;""),(INDIRECT("'"&amp;$B26&amp;"'!$E$29:$E$45"))),"NO DISPONIBLE"),CHOOSE({1,2},(INDIRECT("'"&amp;$B26&amp;"'!$E$29:$E$45")),(INDIRECT("'"&amp;$B26&amp;"'!$A$29:$A$45"))),2,0),0)),(IFERROR(VLOOKUP(IFERROR(LOOKUP(2,1/((INDIRECT("'"&amp;$B26&amp;"'!$F$29:$F$45"))&lt;&gt;""),(INDIRECT("'"&amp;$B26&amp;"'!$F$29:$F$45"))),"NO DISPONIBLE"),CHOOSE({1,2},(INDIRECT("'"&amp;$B26&amp;"'!$F$29:$F$45")),(INDIRECT("'"&amp;$B26&amp;"'!$A$29:$A$45"))),2,0),0)),(IFERROR(VLOOKUP(IFERROR(LOOKUP(2,1/((INDIRECT("'"&amp;$B26&amp;"'!$E$29:$E$45"))&lt;&gt;""),(INDIRECT("'"&amp;$B26&amp;"'!$E$29:$E$45"))),"NO DISPONIBLE"),CHOOSE({1,2},(INDIRECT("'"&amp;$B26&amp;"'!$E$29:$E$45")),(INDIRECT("'"&amp;$B26&amp;"'!$A$29:$A$45"))),2,0),0)))</f>
        <v>0</v>
      </c>
      <c r="W26" s="6" t="s">
        <v>70</v>
      </c>
      <c r="X26" s="7" t="str" cm="1">
        <f t="array" aca="1" ref="X26" ca="1">IF((IFERROR(VLOOKUP(IFERROR(LOOKUP(2,1/((INDIRECT("'"&amp;$B26&amp;"'!$E$29:$E$45"))&lt;&gt;""),(INDIRECT("'"&amp;$B26&amp;"'!$E$29:$E$45"))),"NO DISPONIBLE"),CHOOSE({1,2},(INDIRECT("'"&amp;$B26&amp;"'!$E$29:$E$45")),(INDIRECT("'"&amp;$B26&amp;"'!$A$29:$A$45"))),2,0),0))&gt;(IFERROR(VLOOKUP(IFERROR(LOOKUP(2,1/((INDIRECT("'"&amp;$B26&amp;"'!$F$29:$F$45"))&lt;&gt;""),(INDIRECT("'"&amp;$B26&amp;"'!$F$29:$F$45"))),"NO DISPONIBLE"),CHOOSE({1,2},(INDIRECT("'"&amp;$B26&amp;"'!$F$29:$F$45")),(INDIRECT("'"&amp;$B26&amp;"'!$A$29:$A$45"))),2,0),0)),IFERROR(LOOKUP(2,1/((INDIRECT("'"&amp;$B26&amp;"'!$E$29:$E$45"))&lt;&gt;""),(INDIRECT("'"&amp;$B26&amp;"'!$E$29:$E$45"))),"NO DISPONIBLE"),IFERROR(LOOKUP(2,1/((INDIRECT("'"&amp;$B26&amp;"'!$F$29:$F$45"))&lt;&gt;""),(INDIRECT("'"&amp;$B26&amp;"'!$F$29:$F$45"))),"NO DISPONIBLE"))</f>
        <v>NO DISPONIBLE</v>
      </c>
      <c r="Y26" s="3" t="s">
        <v>69</v>
      </c>
      <c r="Z26" s="5" cm="1">
        <f t="array" aca="1" ref="Z26" ca="1">IF((IFERROR(VLOOKUP(IFERROR(LOOKUP(2,1/((INDIRECT("'"&amp;$B26&amp;"'!$D$29:$D$45"))&lt;&gt;""),(INDIRECT("'"&amp;$B26&amp;"'!$D$29:$D$45"))),"NO DISPONIBLE"),CHOOSE({1,2},(INDIRECT("'"&amp;$B26&amp;"'!$D$29:$D$45")),(INDIRECT("'"&amp;$B26&amp;"'!$A$29:$A$45"))),2,0),0))&gt;(IFERROR(VLOOKUP(IFERROR(LOOKUP(2,1/((INDIRECT("'"&amp;$B26&amp;"'!$C$29:$C$45"))&lt;&gt;""),(INDIRECT("'"&amp;$B26&amp;"'!$C$29:$C$45"))),"NO DISPONIBLE"),CHOOSE({1,2},(INDIRECT("'"&amp;$B26&amp;"'!$C$29:$C$45")),(INDIRECT("'"&amp;$B26&amp;"'!$A$29:$A$45"))),2,0),0)),(IFERROR(VLOOKUP(IFERROR(LOOKUP(2,1/((INDIRECT("'"&amp;$B26&amp;"'!$D$29:$D$45"))&lt;&gt;""),(INDIRECT("'"&amp;$B26&amp;"'!$D$29:$D$45"))),"NO DISPONIBLE"),CHOOSE({1,2},(INDIRECT("'"&amp;$B26&amp;"'!$D$29:$D$45")),(INDIRECT("'"&amp;$B26&amp;"'!$A$29:$A$45"))),2,0),0)),(IFERROR(VLOOKUP(IFERROR(LOOKUP(2,1/((INDIRECT("'"&amp;$B26&amp;"'!$C$29:$C$45"))&lt;&gt;""),(INDIRECT("'"&amp;$B26&amp;"'!$C$29:$C$45"))),"NO DISPONIBLE"),CHOOSE({1,2},(INDIRECT("'"&amp;$B26&amp;"'!$C$29:$C$45")),(INDIRECT("'"&amp;$B26&amp;"'!$A$29:$A$45"))),2,0),0)))</f>
        <v>0</v>
      </c>
      <c r="AA26" s="6" t="s">
        <v>70</v>
      </c>
      <c r="AB26" s="7" t="str" cm="1">
        <f t="array" aca="1" ref="AB26" ca="1">IF((IFERROR(VLOOKUP(IFERROR(LOOKUP(2,1/((INDIRECT("'"&amp;$B26&amp;"'!$C$29:$C$45"))&lt;&gt;""),(INDIRECT("'"&amp;$B26&amp;"'!$C$29:$C$45"))),"NO DISPONIBLE"),CHOOSE({1,2},(INDIRECT("'"&amp;$B26&amp;"'!$C$29:$C$45")),(INDIRECT("'"&amp;$B26&amp;"'!$A$29:$A$45"))),2,0),0))&gt;(IFERROR(VLOOKUP(IFERROR(LOOKUP(2,1/((INDIRECT("'"&amp;$B26&amp;"'!$D$29:$D$45"))&lt;&gt;""),(INDIRECT("'"&amp;$B26&amp;"'!$D$29:$D$45"))),"NO DISPONIBLE"),CHOOSE({1,2},(INDIRECT("'"&amp;$B26&amp;"'!$D$29:$D$45")),(INDIRECT("'"&amp;$B26&amp;"'!$A$29:$A$45"))),2,0),0)),IFERROR(LOOKUP(2,1/((INDIRECT("'"&amp;$B26&amp;"'!$C$29:$C$45"))&lt;&gt;""),(INDIRECT("'"&amp;$B26&amp;"'!$C$29:$C$45"))),"NO DISPONIBLE"),IFERROR(LOOKUP(2,1/((INDIRECT("'"&amp;$B26&amp;"'!$D$29:$D$45"))&lt;&gt;""),(INDIRECT("'"&amp;$B26&amp;"'!$D$29:$D$45"))),"NO DISPONIBLE"))</f>
        <v>NO DISPONIBLE</v>
      </c>
      <c r="AC26" s="6" t="s">
        <v>82</v>
      </c>
      <c r="AD26" s="8"/>
    </row>
    <row r="27" spans="1:30" x14ac:dyDescent="0.3">
      <c r="A27" s="2" t="s">
        <v>42</v>
      </c>
      <c r="B27" s="2" t="str" cm="1">
        <f t="array" aca="1" ref="B27" ca="1">INDIRECT("'"&amp;$B27&amp;"'!$A$6")</f>
        <v>OSCILOSCOPIO</v>
      </c>
      <c r="C27" s="3" t="str" cm="1">
        <f t="array" aca="1" ref="C27" ca="1">INDIRECT("'"&amp;$B27&amp;"'!$G$14")</f>
        <v>TEKTRONIX</v>
      </c>
      <c r="D27" s="3" t="str" cm="1">
        <f t="array" aca="1" ref="D27" ca="1">INDIRECT("'"&amp;$B27&amp;"'!$G$15")</f>
        <v>TBS 1072B-EDU</v>
      </c>
      <c r="E27" s="24" t="str" cm="1">
        <f t="array" aca="1" ref="E27" ca="1">INDIRECT("'"&amp;$B27&amp;"'!$G$16")</f>
        <v>C030412</v>
      </c>
      <c r="F27" s="3" t="s">
        <v>66</v>
      </c>
      <c r="G27" s="3" t="s">
        <v>67</v>
      </c>
      <c r="H27" s="9" t="str" cm="1">
        <f t="array" aca="1" ref="H27" ca="1">INDIRECT("'"&amp;$B27&amp;"'!$G$11")</f>
        <v xml:space="preserve">ELÉCTRICAS </v>
      </c>
      <c r="I27" s="3" t="str" cm="1">
        <f t="array" aca="1" ref="I27" ca="1">INDIRECT("'"&amp;$B27&amp;"'!$C$11")</f>
        <v>ALTA</v>
      </c>
      <c r="J27" s="3" t="str" cm="1">
        <f t="array" aca="1" ref="J27" ca="1">INDIRECT("'"&amp;$B27&amp;"'!$G$21")</f>
        <v>50 s/div</v>
      </c>
      <c r="K27" s="3" t="str" cm="1">
        <f t="array" aca="1" ref="K27" ca="1">INDIRECT("'"&amp;$B27&amp;"'!$G$22")</f>
        <v>10 ns/div</v>
      </c>
      <c r="L27" s="3" t="str" cm="1">
        <f t="array" aca="1" ref="L27" ca="1">INDIRECT("'"&amp;$B27&amp;"'!$G$23")</f>
        <v>N/A</v>
      </c>
      <c r="M27" s="4"/>
      <c r="N27" s="3" t="str" cm="1">
        <f t="array" aca="1" ref="N27" ca="1">INDIRECT("'"&amp;$B27&amp;"'!$G$22")</f>
        <v>10 ns/div</v>
      </c>
      <c r="O27" s="3"/>
      <c r="P27" s="7" t="str" cm="1">
        <f t="array" aca="1" ref="P27" ca="1">IFERROR(LOOKUP(2,1/((INDIRECT("'"&amp;$B27&amp;"'!$G$29:$G$45"))&lt;&gt;""),(INDIRECT("'"&amp;$B27&amp;"'!$G$29:$G$45"))),"NO DISPONIBLE")</f>
        <v>FUNCIONAL</v>
      </c>
      <c r="Q27" s="3" t="s">
        <v>69</v>
      </c>
      <c r="R27" s="5" cm="1">
        <f t="array" aca="1" ref="R27" ca="1">IF(IF(MAX((IFERROR((ROW(INDIRECT("'"&amp;$B27&amp;"'!$F$29:$F$45"))-ROW(INDIRECT("'"&amp;$B27&amp;"'!$F$29"))+1)/--(IF(INDIRECT("'"&amp;$B27&amp;"'!$F$29:$F$45")&lt;&gt;"",1,0)),0))-(IFERROR((ROW(INDIRECT("'"&amp;$B27&amp;"'!$F$29:$F$45"))-ROW(INDIRECT("'"&amp;$B27&amp;"'!$F$29"))+1)/--(FIND("VERIFICACIÓN: ", INDIRECT("'"&amp;$B27&amp;"'!$F$29:$F$45"))),0)))&lt;&gt;0,INDEX(INDIRECT("'"&amp;$B27&amp;"'!$A$29:$G$45"),MAX((IFERROR((ROW(INDIRECT("'"&amp;$B27&amp;"'!$F$29:$F$45"))-ROW(INDIRECT("'"&amp;$B27&amp;"'!$F$29"))+1)/--(IF(INDIRECT("'"&amp;$B27&amp;"'!$F$29:$F$45")&lt;&gt;"",1,0)),0))-(IFERROR((ROW(INDIRECT("'"&amp;$B27&amp;"'!$F$29:$F$45"))-ROW(INDIRECT("'"&amp;$B27&amp;"'!$F$29"))+1)/--(FIND("VERIFICACIÓN: ", INDIRECT("'"&amp;$B27&amp;"'!$F$29:$F$45"))),0))),1),0)&gt;IF(MAX(IFERROR((_xlfn._xlws.FILTER((ROW(INDIRECT("'"&amp;$B27&amp;"'!$E$29:$E$45"))-ROW(INDIRECT("'"&amp;$B27&amp;"'!$E$29"))+1)/--(IF(INDIRECT("'"&amp;$B27&amp;"'!$E$29:$E$45")&lt;&gt;"",1,0)), NOT(ISNUMBER(MATCH((ROW(INDIRECT("'"&amp;$B27&amp;"'!$E$29:$E$45"))-ROW(INDIRECT("'"&amp;$B27&amp;"'!$E$29"))+1)/--(IF(INDIRECT("'"&amp;$B27&amp;"'!$E$29:$E$45")&lt;&gt;"",1,0)), (ROW(INDIRECT("'"&amp;$B27&amp;"'!$E$29:$E$45"))-ROW(INDIRECT("'"&amp;$B27&amp;"'!$E$29"))+1)/--(FIND("VERIFICACIÓN: ", INDIRECT("'"&amp;$B27&amp;"'!$E$29:$E$45"))), 0))))),0))&lt;&gt;0,INDEX(INDIRECT("'"&amp;$B27&amp;"'!$A$29:$G$45"),MAX((IFERROR((ROW(INDIRECT("'"&amp;$B27&amp;"'!$E$29:$E$45"))-ROW(INDIRECT("'"&amp;$B27&amp;"'!$E$29"))+1)/--(IF(INDIRECT("'"&amp;$B27&amp;"'!$E$29:$E$45")&lt;&gt;"",1,0)),0))-(IFERROR((ROW(INDIRECT("'"&amp;$B27&amp;"'!$E$29:$E$45"))-ROW(INDIRECT("'"&amp;$B27&amp;"'!$E$29"))+1)/--(FIND("VERIFICACIÓN: ", INDIRECT("'"&amp;$B27&amp;"'!$E$29:$E$45"))),0))),1),0),IF(MAX((IFERROR((ROW(INDIRECT("'"&amp;$B27&amp;"'!$F$29:$F$45"))-ROW(INDIRECT("'"&amp;$B27&amp;"'!$F$29"))+1)/--(IF(INDIRECT("'"&amp;$B27&amp;"'!$F$29:$F$45")&lt;&gt;"",1,0)),0))-(IFERROR((ROW(INDIRECT("'"&amp;$B27&amp;"'!$F$29:$F$45"))-ROW(INDIRECT("'"&amp;$B27&amp;"'!$F$29"))+1)/--(FIND("VERIFICACIÓN: ", INDIRECT("'"&amp;$B27&amp;"'!$F$29:$F$45"))),0)))&lt;&gt;0,INDEX(INDIRECT("'"&amp;$B27&amp;"'!$A$29:$G$45"),MAX((IFERROR((ROW(INDIRECT("'"&amp;$B27&amp;"'!$F$29:$F$45"))-ROW(INDIRECT("'"&amp;$B27&amp;"'!$F$29"))+1)/--(IF(INDIRECT("'"&amp;$B27&amp;"'!$F$29:$F$45")&lt;&gt;"",1,0)),0))-(IFERROR((ROW(INDIRECT("'"&amp;$B27&amp;"'!$F$29:$F$45"))-ROW(INDIRECT("'"&amp;$B27&amp;"'!$F$29"))+1)/--(FIND("VERIFICACIÓN: ", INDIRECT("'"&amp;$B27&amp;"'!$F$29:$F$45"))),0))),1),0),IF(MAX(IFERROR((_xlfn._xlws.FILTER((ROW(INDIRECT("'"&amp;$B27&amp;"'!$E$29:$E$45"))-ROW(INDIRECT("'"&amp;$B27&amp;"'!$E$29"))+1)/--(IF(INDIRECT("'"&amp;$B27&amp;"'!$E$29:$E$45")&lt;&gt;"",1,0)), NOT(ISNUMBER(MATCH((ROW(INDIRECT("'"&amp;$B27&amp;"'!$E$29:$E$45"))-ROW(INDIRECT("'"&amp;$B27&amp;"'!$E$29"))+1)/--(IF(INDIRECT("'"&amp;$B27&amp;"'!$E$29:$E$45")&lt;&gt;"",1,0)), (ROW(INDIRECT("'"&amp;$B27&amp;"'!$E$29:$E$45"))-ROW(INDIRECT("'"&amp;$B27&amp;"'!$E$29"))+1)/--(FIND("VERIFICACIÓN: ", INDIRECT("'"&amp;$B27&amp;"'!$E$29:$E$45"))), 0))))),0))&lt;&gt;0,INDEX(INDIRECT("'"&amp;$B27&amp;"'!$A$29:$G$45"),MAX((IFERROR((ROW(INDIRECT("'"&amp;$B27&amp;"'!$E$29:$E$45"))-ROW(INDIRECT("'"&amp;$B27&amp;"'!$E$29"))+1)/--(IF(INDIRECT("'"&amp;$B27&amp;"'!$E$29:$E$45")&lt;&gt;"",1,0)),0))-(IFERROR((ROW(INDIRECT("'"&amp;$B27&amp;"'!$E$29:$E$45"))-ROW(INDIRECT("'"&amp;$B27&amp;"'!$E$29"))+1)/--(FIND("VERIFICACIÓN: ", INDIRECT("'"&amp;$B27&amp;"'!$E$29:$E$45"))),0))),1),0))</f>
        <v>45636</v>
      </c>
      <c r="S27" s="6" t="s">
        <v>70</v>
      </c>
      <c r="T27" s="7" t="str" cm="1">
        <f t="array" aca="1" ref="T27" ca="1">IF(IF(MAX((IFERROR((ROW(INDIRECT("'"&amp;$B27&amp;"'!$F$29:$F$45"))-ROW(INDIRECT("'"&amp;$B27&amp;"'!$F$29"))+1)/--(IF(INDIRECT("'"&amp;$B27&amp;"'!$F$29:$F$45")&lt;&gt;"",1,0)),0))-(IFERROR((ROW(INDIRECT("'"&amp;$B27&amp;"'!$F$29:$F$45"))-ROW(INDIRECT("'"&amp;$B27&amp;"'!$F$29"))+1)/--(FIND("VERIFICACIÓN: ", INDIRECT("'"&amp;$B27&amp;"'!$F$29:$F$45"))),0)))&lt;&gt;0,INDEX(INDIRECT("'"&amp;$B27&amp;"'!$A$29:$G$45"),MAX((IFERROR((ROW(INDIRECT("'"&amp;$B27&amp;"'!$F$29:$F$45"))-ROW(INDIRECT("'"&amp;$B27&amp;"'!$F$29"))+1)/--(IF(INDIRECT("'"&amp;$B27&amp;"'!$F$29:$F$45")&lt;&gt;"",1,0)),0))-(IFERROR((ROW(INDIRECT("'"&amp;$B27&amp;"'!$F$29:$F$45"))-ROW(INDIRECT("'"&amp;$B27&amp;"'!$F$29"))+1)/--(FIND("VERIFICACIÓN: ", INDIRECT("'"&amp;$B27&amp;"'!$F$29:$F$45"))),0))),1),0)&gt;IF(MAX(IFERROR((_xlfn._xlws.FILTER((ROW(INDIRECT("'"&amp;$B27&amp;"'!$E$29:$E$45"))-ROW(INDIRECT("'"&amp;$B27&amp;"'!$E$29"))+1)/--(IF(INDIRECT("'"&amp;$B27&amp;"'!$E$29:$E$45")&lt;&gt;"",1,0)), NOT(ISNUMBER(MATCH((ROW(INDIRECT("'"&amp;$B27&amp;"'!$E$29:$E$45"))-ROW(INDIRECT("'"&amp;$B27&amp;"'!$E$29"))+1)/--(IF(INDIRECT("'"&amp;$B27&amp;"'!$E$29:$E$45")&lt;&gt;"",1,0)), (ROW(INDIRECT("'"&amp;$B27&amp;"'!$E$29:$E$45"))-ROW(INDIRECT("'"&amp;$B27&amp;"'!$E$29"))+1)/--(FIND("VERIFICACIÓN: ", INDIRECT("'"&amp;$B27&amp;"'!$E$29:$E$45"))), 0))))),0))&lt;&gt;0,INDEX(INDIRECT("'"&amp;$B27&amp;"'!$A$29:$G$45"),MAX((IFERROR((ROW(INDIRECT("'"&amp;$B27&amp;"'!$E$29:$E$45"))-ROW(INDIRECT("'"&amp;$B27&amp;"'!$E$29"))+1)/--(IF(INDIRECT("'"&amp;$B27&amp;"'!$E$29:$E$45")&lt;&gt;"",1,0)),0))-(IFERROR((ROW(INDIRECT("'"&amp;$B27&amp;"'!$E$29:$E$45"))-ROW(INDIRECT("'"&amp;$B27&amp;"'!$E$29"))+1)/--(FIND("VERIFICACIÓN: ", INDIRECT("'"&amp;$B27&amp;"'!$E$29:$E$45"))),0))),1),0),IF(MAX((IFERROR((ROW(INDIRECT("'"&amp;$B27&amp;"'!$F$29:$F$45"))-ROW(INDIRECT("'"&amp;$B27&amp;"'!$F$29"))+1)/--(IF(INDIRECT("'"&amp;$B27&amp;"'!$F$29:$F$45")&lt;&gt;"",1,0)),0))-(IFERROR((ROW(INDIRECT("'"&amp;$B27&amp;"'!$F$29:$F$45"))-ROW(INDIRECT("'"&amp;$B27&amp;"'!$F$29"))+1)/--(FIND("VERIFICACIÓN: ", INDIRECT("'"&amp;$B27&amp;"'!$F$29:$F$45"))),0)))&lt;&gt;0,INDEX(INDIRECT("'"&amp;$B27&amp;"'!$A$29:$G$45"),MAX((IFERROR((ROW(INDIRECT("'"&amp;$B27&amp;"'!$F$29:$F$45"))-ROW(INDIRECT("'"&amp;$B27&amp;"'!$F$29"))+1)/--(IF(INDIRECT("'"&amp;$B27&amp;"'!$F$29:$F$45")&lt;&gt;"",1,0)),0))-(IFERROR((ROW(INDIRECT("'"&amp;$B27&amp;"'!$F$29:$F$45"))-ROW(INDIRECT("'"&amp;$B27&amp;"'!$F$29"))+1)/--(FIND("VERIFICACIÓN: ", INDIRECT("'"&amp;$B27&amp;"'!$F$29:$F$45"))),0))),6),"NO DISPONIBLE"),IF(MAX(IFERROR((_xlfn._xlws.FILTER((ROW(INDIRECT("'"&amp;$B27&amp;"'!$E$29:$E$45"))-ROW(INDIRECT("'"&amp;$B27&amp;"'!$E$29"))+1)/--(IF(INDIRECT("'"&amp;$B27&amp;"'!$E$29:$E$45")&lt;&gt;"",1,0)), NOT(ISNUMBER(MATCH((ROW(INDIRECT("'"&amp;$B27&amp;"'!$E$29:$E$45"))-ROW(INDIRECT("'"&amp;$B27&amp;"'!$E$29"))+1)/--(IF(INDIRECT("'"&amp;$B27&amp;"'!$E$29:$E$45")&lt;&gt;"",1,0)), (ROW(INDIRECT("'"&amp;$B27&amp;"'!$E$29:$E$45"))-ROW(INDIRECT("'"&amp;$B27&amp;"'!$E$29"))+1)/--(FIND("VERIFICACIÓN: ", INDIRECT("'"&amp;$B27&amp;"'!$E$29:$E$45"))), 0))))),0))&lt;&gt;0,INDEX(INDIRECT("'"&amp;$B27&amp;"'!$A$29:$G$45"),MAX((IFERROR((ROW(INDIRECT("'"&amp;$B27&amp;"'!$E$29:$E$45"))-ROW(INDIRECT("'"&amp;$B27&amp;"'!$E$29"))+1)/--(IF(INDIRECT("'"&amp;$B27&amp;"'!$E$29:$E$45")&lt;&gt;"",1,0)),0))-(IFERROR((ROW(INDIRECT("'"&amp;$B27&amp;"'!$E$29:$E$45"))-ROW(INDIRECT("'"&amp;$B27&amp;"'!$E$29"))+1)/--(FIND("VERIFICACIÓN: ", INDIRECT("'"&amp;$B27&amp;"'!$E$29:$E$45"))),0))),5),"NO DISPONIBLE"))</f>
        <v>MJM</v>
      </c>
      <c r="U27" s="3">
        <v>12</v>
      </c>
      <c r="V27" s="5" cm="1">
        <f t="array" aca="1" ref="V27" ca="1">IF((IFERROR(VLOOKUP(IFERROR(LOOKUP(2,1/((INDIRECT("'"&amp;$B27&amp;"'!$F$29:$F$45"))&lt;&gt;""),(INDIRECT("'"&amp;$B27&amp;"'!$F$29:$F$45"))),"NO DISPONIBLE"),CHOOSE({1,2},(INDIRECT("'"&amp;$B27&amp;"'!$F$29:$F$45")),(INDIRECT("'"&amp;$B27&amp;"'!$A$29:$A$45"))),2,0),0))&gt;(IFERROR(VLOOKUP(IFERROR(LOOKUP(2,1/((INDIRECT("'"&amp;$B27&amp;"'!$E$29:$E$45"))&lt;&gt;""),(INDIRECT("'"&amp;$B27&amp;"'!$E$29:$E$45"))),"NO DISPONIBLE"),CHOOSE({1,2},(INDIRECT("'"&amp;$B27&amp;"'!$E$29:$E$45")),(INDIRECT("'"&amp;$B27&amp;"'!$A$29:$A$45"))),2,0),0)),(IFERROR(VLOOKUP(IFERROR(LOOKUP(2,1/((INDIRECT("'"&amp;$B27&amp;"'!$F$29:$F$45"))&lt;&gt;""),(INDIRECT("'"&amp;$B27&amp;"'!$F$29:$F$45"))),"NO DISPONIBLE"),CHOOSE({1,2},(INDIRECT("'"&amp;$B27&amp;"'!$F$29:$F$45")),(INDIRECT("'"&amp;$B27&amp;"'!$A$29:$A$45"))),2,0),0)),(IFERROR(VLOOKUP(IFERROR(LOOKUP(2,1/((INDIRECT("'"&amp;$B27&amp;"'!$E$29:$E$45"))&lt;&gt;""),(INDIRECT("'"&amp;$B27&amp;"'!$E$29:$E$45"))),"NO DISPONIBLE"),CHOOSE({1,2},(INDIRECT("'"&amp;$B27&amp;"'!$E$29:$E$45")),(INDIRECT("'"&amp;$B27&amp;"'!$A$29:$A$45"))),2,0),0)))</f>
        <v>45636</v>
      </c>
      <c r="W27" s="6" t="s">
        <v>71</v>
      </c>
      <c r="X27" s="7" t="str" cm="1">
        <f t="array" aca="1" ref="X27" ca="1">IF((IFERROR(VLOOKUP(IFERROR(LOOKUP(2,1/((INDIRECT("'"&amp;$B27&amp;"'!$E$29:$E$45"))&lt;&gt;""),(INDIRECT("'"&amp;$B27&amp;"'!$E$29:$E$45"))),"NO DISPONIBLE"),CHOOSE({1,2},(INDIRECT("'"&amp;$B27&amp;"'!$E$29:$E$45")),(INDIRECT("'"&amp;$B27&amp;"'!$A$29:$A$45"))),2,0),0))&gt;(IFERROR(VLOOKUP(IFERROR(LOOKUP(2,1/((INDIRECT("'"&amp;$B27&amp;"'!$F$29:$F$45"))&lt;&gt;""),(INDIRECT("'"&amp;$B27&amp;"'!$F$29:$F$45"))),"NO DISPONIBLE"),CHOOSE({1,2},(INDIRECT("'"&amp;$B27&amp;"'!$F$29:$F$45")),(INDIRECT("'"&amp;$B27&amp;"'!$A$29:$A$45"))),2,0),0)),IFERROR(LOOKUP(2,1/((INDIRECT("'"&amp;$B27&amp;"'!$E$29:$E$45"))&lt;&gt;""),(INDIRECT("'"&amp;$B27&amp;"'!$E$29:$E$45"))),"NO DISPONIBLE"),IFERROR(LOOKUP(2,1/((INDIRECT("'"&amp;$B27&amp;"'!$F$29:$F$45"))&lt;&gt;""),(INDIRECT("'"&amp;$B27&amp;"'!$F$29:$F$45"))),"NO DISPONIBLE"))</f>
        <v>MJM</v>
      </c>
      <c r="Y27" s="3">
        <v>12</v>
      </c>
      <c r="Z27" s="5" cm="1">
        <f t="array" aca="1" ref="Z27" ca="1">IF((IFERROR(VLOOKUP(IFERROR(LOOKUP(2,1/((INDIRECT("'"&amp;$B27&amp;"'!$D$29:$D$45"))&lt;&gt;""),(INDIRECT("'"&amp;$B27&amp;"'!$D$29:$D$45"))),"NO DISPONIBLE"),CHOOSE({1,2},(INDIRECT("'"&amp;$B27&amp;"'!$D$29:$D$45")),(INDIRECT("'"&amp;$B27&amp;"'!$A$29:$A$45"))),2,0),0))&gt;(IFERROR(VLOOKUP(IFERROR(LOOKUP(2,1/((INDIRECT("'"&amp;$B27&amp;"'!$C$29:$C$45"))&lt;&gt;""),(INDIRECT("'"&amp;$B27&amp;"'!$C$29:$C$45"))),"NO DISPONIBLE"),CHOOSE({1,2},(INDIRECT("'"&amp;$B27&amp;"'!$C$29:$C$45")),(INDIRECT("'"&amp;$B27&amp;"'!$A$29:$A$45"))),2,0),0)),(IFERROR(VLOOKUP(IFERROR(LOOKUP(2,1/((INDIRECT("'"&amp;$B27&amp;"'!$D$29:$D$45"))&lt;&gt;""),(INDIRECT("'"&amp;$B27&amp;"'!$D$29:$D$45"))),"NO DISPONIBLE"),CHOOSE({1,2},(INDIRECT("'"&amp;$B27&amp;"'!$D$29:$D$45")),(INDIRECT("'"&amp;$B27&amp;"'!$A$29:$A$45"))),2,0),0)),(IFERROR(VLOOKUP(IFERROR(LOOKUP(2,1/((INDIRECT("'"&amp;$B27&amp;"'!$C$29:$C$45"))&lt;&gt;""),(INDIRECT("'"&amp;$B27&amp;"'!$C$29:$C$45"))),"NO DISPONIBLE"),CHOOSE({1,2},(INDIRECT("'"&amp;$B27&amp;"'!$C$29:$C$45")),(INDIRECT("'"&amp;$B27&amp;"'!$A$29:$A$45"))),2,0),0)))</f>
        <v>45636</v>
      </c>
      <c r="AA27" s="6" t="s">
        <v>72</v>
      </c>
      <c r="AB27" s="7" t="str" cm="1">
        <f t="array" aca="1" ref="AB27" ca="1">IF((IFERROR(VLOOKUP(IFERROR(LOOKUP(2,1/((INDIRECT("'"&amp;$B27&amp;"'!$C$29:$C$45"))&lt;&gt;""),(INDIRECT("'"&amp;$B27&amp;"'!$C$29:$C$45"))),"NO DISPONIBLE"),CHOOSE({1,2},(INDIRECT("'"&amp;$B27&amp;"'!$C$29:$C$45")),(INDIRECT("'"&amp;$B27&amp;"'!$A$29:$A$45"))),2,0),0))&gt;(IFERROR(VLOOKUP(IFERROR(LOOKUP(2,1/((INDIRECT("'"&amp;$B27&amp;"'!$D$29:$D$45"))&lt;&gt;""),(INDIRECT("'"&amp;$B27&amp;"'!$D$29:$D$45"))),"NO DISPONIBLE"),CHOOSE({1,2},(INDIRECT("'"&amp;$B27&amp;"'!$D$29:$D$45")),(INDIRECT("'"&amp;$B27&amp;"'!$A$29:$A$45"))),2,0),0)),IFERROR(LOOKUP(2,1/((INDIRECT("'"&amp;$B27&amp;"'!$C$29:$C$45"))&lt;&gt;""),(INDIRECT("'"&amp;$B27&amp;"'!$C$29:$C$45"))),"NO DISPONIBLE"),IFERROR(LOOKUP(2,1/((INDIRECT("'"&amp;$B27&amp;"'!$D$29:$D$45"))&lt;&gt;""),(INDIRECT("'"&amp;$B27&amp;"'!$D$29:$D$45"))),"NO DISPONIBLE"))</f>
        <v>MJM</v>
      </c>
      <c r="AC27" s="6" t="s">
        <v>82</v>
      </c>
      <c r="AD27" s="8"/>
    </row>
    <row r="28" spans="1:30" x14ac:dyDescent="0.3">
      <c r="A28" s="2" t="s">
        <v>43</v>
      </c>
      <c r="B28" s="2" t="str" cm="1">
        <f t="array" aca="1" ref="B28" ca="1">INDIRECT("'"&amp;$B28&amp;"'!$A$6")</f>
        <v>GENERADOR DE FUNCIONES</v>
      </c>
      <c r="C28" s="3" t="str" cm="1">
        <f t="array" aca="1" ref="C28" ca="1">INDIRECT("'"&amp;$B28&amp;"'!$G$14")</f>
        <v>TEKTRONIX</v>
      </c>
      <c r="D28" s="3" t="str" cm="1">
        <f t="array" aca="1" ref="D28" ca="1">INDIRECT("'"&amp;$B28&amp;"'!$G$15")</f>
        <v>AFG1022</v>
      </c>
      <c r="E28" s="24" t="str" cm="1">
        <f t="array" aca="1" ref="E28" ca="1">INDIRECT("'"&amp;$B28&amp;"'!$G$16")</f>
        <v>AFG10221643221</v>
      </c>
      <c r="F28" s="3" t="s">
        <v>66</v>
      </c>
      <c r="G28" s="3" t="s">
        <v>67</v>
      </c>
      <c r="H28" s="9" t="str" cm="1">
        <f t="array" aca="1" ref="H28" ca="1">INDIRECT("'"&amp;$B28&amp;"'!$G$11")</f>
        <v xml:space="preserve">ELÉCTRICAS </v>
      </c>
      <c r="I28" s="3" t="str" cm="1">
        <f t="array" aca="1" ref="I28" ca="1">INDIRECT("'"&amp;$B28&amp;"'!$C$11")</f>
        <v>ALTA</v>
      </c>
      <c r="J28" s="3" t="str" cm="1">
        <f t="array" aca="1" ref="J28" ca="1">INDIRECT("'"&amp;$B28&amp;"'!$G$21")</f>
        <v>60 MHz</v>
      </c>
      <c r="K28" s="3" t="str" cm="1">
        <f t="array" aca="1" ref="K28" ca="1">INDIRECT("'"&amp;$B28&amp;"'!$G$22")</f>
        <v xml:space="preserve">1 μHz </v>
      </c>
      <c r="L28" s="3" t="str" cm="1">
        <f t="array" aca="1" ref="L28" ca="1">INDIRECT("'"&amp;$B28&amp;"'!$G$23")</f>
        <v xml:space="preserve">1 μHz </v>
      </c>
      <c r="M28" s="4"/>
      <c r="N28" s="3" t="str" cm="1">
        <f t="array" aca="1" ref="N28" ca="1">INDIRECT("'"&amp;$B28&amp;"'!$G$22")</f>
        <v xml:space="preserve">1 μHz </v>
      </c>
      <c r="O28" s="3"/>
      <c r="P28" s="7" t="str" cm="1">
        <f t="array" aca="1" ref="P28" ca="1">IFERROR(LOOKUP(2,1/((INDIRECT("'"&amp;$B28&amp;"'!$G$29:$G$45"))&lt;&gt;""),(INDIRECT("'"&amp;$B28&amp;"'!$G$29:$G$45"))),"NO DISPONIBLE")</f>
        <v>FUNCIONAL</v>
      </c>
      <c r="Q28" s="3">
        <v>36</v>
      </c>
      <c r="R28" s="5" cm="1">
        <f t="array" aca="1" ref="R28" ca="1">IF(IF(MAX((IFERROR((ROW(INDIRECT("'"&amp;$B28&amp;"'!$F$29:$F$45"))-ROW(INDIRECT("'"&amp;$B28&amp;"'!$F$29"))+1)/--(IF(INDIRECT("'"&amp;$B28&amp;"'!$F$29:$F$45")&lt;&gt;"",1,0)),0))-(IFERROR((ROW(INDIRECT("'"&amp;$B28&amp;"'!$F$29:$F$45"))-ROW(INDIRECT("'"&amp;$B28&amp;"'!$F$29"))+1)/--(FIND("VERIFICACIÓN: ", INDIRECT("'"&amp;$B28&amp;"'!$F$29:$F$45"))),0)))&lt;&gt;0,INDEX(INDIRECT("'"&amp;$B28&amp;"'!$A$29:$G$45"),MAX((IFERROR((ROW(INDIRECT("'"&amp;$B28&amp;"'!$F$29:$F$45"))-ROW(INDIRECT("'"&amp;$B28&amp;"'!$F$29"))+1)/--(IF(INDIRECT("'"&amp;$B28&amp;"'!$F$29:$F$45")&lt;&gt;"",1,0)),0))-(IFERROR((ROW(INDIRECT("'"&amp;$B28&amp;"'!$F$29:$F$45"))-ROW(INDIRECT("'"&amp;$B28&amp;"'!$F$29"))+1)/--(FIND("VERIFICACIÓN: ", INDIRECT("'"&amp;$B28&amp;"'!$F$29:$F$45"))),0))),1),0)&gt;IF(MAX(IFERROR((_xlfn._xlws.FILTER((ROW(INDIRECT("'"&amp;$B28&amp;"'!$E$29:$E$45"))-ROW(INDIRECT("'"&amp;$B28&amp;"'!$E$29"))+1)/--(IF(INDIRECT("'"&amp;$B28&amp;"'!$E$29:$E$45")&lt;&gt;"",1,0)), NOT(ISNUMBER(MATCH((ROW(INDIRECT("'"&amp;$B28&amp;"'!$E$29:$E$45"))-ROW(INDIRECT("'"&amp;$B28&amp;"'!$E$29"))+1)/--(IF(INDIRECT("'"&amp;$B28&amp;"'!$E$29:$E$45")&lt;&gt;"",1,0)), (ROW(INDIRECT("'"&amp;$B28&amp;"'!$E$29:$E$45"))-ROW(INDIRECT("'"&amp;$B28&amp;"'!$E$29"))+1)/--(FIND("VERIFICACIÓN: ", INDIRECT("'"&amp;$B28&amp;"'!$E$29:$E$45"))), 0))))),0))&lt;&gt;0,INDEX(INDIRECT("'"&amp;$B28&amp;"'!$A$29:$G$45"),MAX((IFERROR((ROW(INDIRECT("'"&amp;$B28&amp;"'!$E$29:$E$45"))-ROW(INDIRECT("'"&amp;$B28&amp;"'!$E$29"))+1)/--(IF(INDIRECT("'"&amp;$B28&amp;"'!$E$29:$E$45")&lt;&gt;"",1,0)),0))-(IFERROR((ROW(INDIRECT("'"&amp;$B28&amp;"'!$E$29:$E$45"))-ROW(INDIRECT("'"&amp;$B28&amp;"'!$E$29"))+1)/--(FIND("VERIFICACIÓN: ", INDIRECT("'"&amp;$B28&amp;"'!$E$29:$E$45"))),0))),1),0),IF(MAX((IFERROR((ROW(INDIRECT("'"&amp;$B28&amp;"'!$F$29:$F$45"))-ROW(INDIRECT("'"&amp;$B28&amp;"'!$F$29"))+1)/--(IF(INDIRECT("'"&amp;$B28&amp;"'!$F$29:$F$45")&lt;&gt;"",1,0)),0))-(IFERROR((ROW(INDIRECT("'"&amp;$B28&amp;"'!$F$29:$F$45"))-ROW(INDIRECT("'"&amp;$B28&amp;"'!$F$29"))+1)/--(FIND("VERIFICACIÓN: ", INDIRECT("'"&amp;$B28&amp;"'!$F$29:$F$45"))),0)))&lt;&gt;0,INDEX(INDIRECT("'"&amp;$B28&amp;"'!$A$29:$G$45"),MAX((IFERROR((ROW(INDIRECT("'"&amp;$B28&amp;"'!$F$29:$F$45"))-ROW(INDIRECT("'"&amp;$B28&amp;"'!$F$29"))+1)/--(IF(INDIRECT("'"&amp;$B28&amp;"'!$F$29:$F$45")&lt;&gt;"",1,0)),0))-(IFERROR((ROW(INDIRECT("'"&amp;$B28&amp;"'!$F$29:$F$45"))-ROW(INDIRECT("'"&amp;$B28&amp;"'!$F$29"))+1)/--(FIND("VERIFICACIÓN: ", INDIRECT("'"&amp;$B28&amp;"'!$F$29:$F$45"))),0))),1),0),IF(MAX(IFERROR((_xlfn._xlws.FILTER((ROW(INDIRECT("'"&amp;$B28&amp;"'!$E$29:$E$45"))-ROW(INDIRECT("'"&amp;$B28&amp;"'!$E$29"))+1)/--(IF(INDIRECT("'"&amp;$B28&amp;"'!$E$29:$E$45")&lt;&gt;"",1,0)), NOT(ISNUMBER(MATCH((ROW(INDIRECT("'"&amp;$B28&amp;"'!$E$29:$E$45"))-ROW(INDIRECT("'"&amp;$B28&amp;"'!$E$29"))+1)/--(IF(INDIRECT("'"&amp;$B28&amp;"'!$E$29:$E$45")&lt;&gt;"",1,0)), (ROW(INDIRECT("'"&amp;$B28&amp;"'!$E$29:$E$45"))-ROW(INDIRECT("'"&amp;$B28&amp;"'!$E$29"))+1)/--(FIND("VERIFICACIÓN: ", INDIRECT("'"&amp;$B28&amp;"'!$E$29:$E$45"))), 0))))),0))&lt;&gt;0,INDEX(INDIRECT("'"&amp;$B28&amp;"'!$A$29:$G$45"),MAX((IFERROR((ROW(INDIRECT("'"&amp;$B28&amp;"'!$E$29:$E$45"))-ROW(INDIRECT("'"&amp;$B28&amp;"'!$E$29"))+1)/--(IF(INDIRECT("'"&amp;$B28&amp;"'!$E$29:$E$45")&lt;&gt;"",1,0)),0))-(IFERROR((ROW(INDIRECT("'"&amp;$B28&amp;"'!$E$29:$E$45"))-ROW(INDIRECT("'"&amp;$B28&amp;"'!$E$29"))+1)/--(FIND("VERIFICACIÓN: ", INDIRECT("'"&amp;$B28&amp;"'!$E$29:$E$45"))),0))),1),0))</f>
        <v>45716</v>
      </c>
      <c r="S28" s="6" t="s">
        <v>68</v>
      </c>
      <c r="T28" s="7" t="str" cm="1">
        <f t="array" aca="1" ref="T28" ca="1">IF(IF(MAX((IFERROR((ROW(INDIRECT("'"&amp;$B28&amp;"'!$F$29:$F$45"))-ROW(INDIRECT("'"&amp;$B28&amp;"'!$F$29"))+1)/--(IF(INDIRECT("'"&amp;$B28&amp;"'!$F$29:$F$45")&lt;&gt;"",1,0)),0))-(IFERROR((ROW(INDIRECT("'"&amp;$B28&amp;"'!$F$29:$F$45"))-ROW(INDIRECT("'"&amp;$B28&amp;"'!$F$29"))+1)/--(FIND("VERIFICACIÓN: ", INDIRECT("'"&amp;$B28&amp;"'!$F$29:$F$45"))),0)))&lt;&gt;0,INDEX(INDIRECT("'"&amp;$B28&amp;"'!$A$29:$G$45"),MAX((IFERROR((ROW(INDIRECT("'"&amp;$B28&amp;"'!$F$29:$F$45"))-ROW(INDIRECT("'"&amp;$B28&amp;"'!$F$29"))+1)/--(IF(INDIRECT("'"&amp;$B28&amp;"'!$F$29:$F$45")&lt;&gt;"",1,0)),0))-(IFERROR((ROW(INDIRECT("'"&amp;$B28&amp;"'!$F$29:$F$45"))-ROW(INDIRECT("'"&amp;$B28&amp;"'!$F$29"))+1)/--(FIND("VERIFICACIÓN: ", INDIRECT("'"&amp;$B28&amp;"'!$F$29:$F$45"))),0))),1),0)&gt;IF(MAX(IFERROR((_xlfn._xlws.FILTER((ROW(INDIRECT("'"&amp;$B28&amp;"'!$E$29:$E$45"))-ROW(INDIRECT("'"&amp;$B28&amp;"'!$E$29"))+1)/--(IF(INDIRECT("'"&amp;$B28&amp;"'!$E$29:$E$45")&lt;&gt;"",1,0)), NOT(ISNUMBER(MATCH((ROW(INDIRECT("'"&amp;$B28&amp;"'!$E$29:$E$45"))-ROW(INDIRECT("'"&amp;$B28&amp;"'!$E$29"))+1)/--(IF(INDIRECT("'"&amp;$B28&amp;"'!$E$29:$E$45")&lt;&gt;"",1,0)), (ROW(INDIRECT("'"&amp;$B28&amp;"'!$E$29:$E$45"))-ROW(INDIRECT("'"&amp;$B28&amp;"'!$E$29"))+1)/--(FIND("VERIFICACIÓN: ", INDIRECT("'"&amp;$B28&amp;"'!$E$29:$E$45"))), 0))))),0))&lt;&gt;0,INDEX(INDIRECT("'"&amp;$B28&amp;"'!$A$29:$G$45"),MAX((IFERROR((ROW(INDIRECT("'"&amp;$B28&amp;"'!$E$29:$E$45"))-ROW(INDIRECT("'"&amp;$B28&amp;"'!$E$29"))+1)/--(IF(INDIRECT("'"&amp;$B28&amp;"'!$E$29:$E$45")&lt;&gt;"",1,0)),0))-(IFERROR((ROW(INDIRECT("'"&amp;$B28&amp;"'!$E$29:$E$45"))-ROW(INDIRECT("'"&amp;$B28&amp;"'!$E$29"))+1)/--(FIND("VERIFICACIÓN: ", INDIRECT("'"&amp;$B28&amp;"'!$E$29:$E$45"))),0))),1),0),IF(MAX((IFERROR((ROW(INDIRECT("'"&amp;$B28&amp;"'!$F$29:$F$45"))-ROW(INDIRECT("'"&amp;$B28&amp;"'!$F$29"))+1)/--(IF(INDIRECT("'"&amp;$B28&amp;"'!$F$29:$F$45")&lt;&gt;"",1,0)),0))-(IFERROR((ROW(INDIRECT("'"&amp;$B28&amp;"'!$F$29:$F$45"))-ROW(INDIRECT("'"&amp;$B28&amp;"'!$F$29"))+1)/--(FIND("VERIFICACIÓN: ", INDIRECT("'"&amp;$B28&amp;"'!$F$29:$F$45"))),0)))&lt;&gt;0,INDEX(INDIRECT("'"&amp;$B28&amp;"'!$A$29:$G$45"),MAX((IFERROR((ROW(INDIRECT("'"&amp;$B28&amp;"'!$F$29:$F$45"))-ROW(INDIRECT("'"&amp;$B28&amp;"'!$F$29"))+1)/--(IF(INDIRECT("'"&amp;$B28&amp;"'!$F$29:$F$45")&lt;&gt;"",1,0)),0))-(IFERROR((ROW(INDIRECT("'"&amp;$B28&amp;"'!$F$29:$F$45"))-ROW(INDIRECT("'"&amp;$B28&amp;"'!$F$29"))+1)/--(FIND("VERIFICACIÓN: ", INDIRECT("'"&amp;$B28&amp;"'!$F$29:$F$45"))),0))),6),"NO DISPONIBLE"),IF(MAX(IFERROR((_xlfn._xlws.FILTER((ROW(INDIRECT("'"&amp;$B28&amp;"'!$E$29:$E$45"))-ROW(INDIRECT("'"&amp;$B28&amp;"'!$E$29"))+1)/--(IF(INDIRECT("'"&amp;$B28&amp;"'!$E$29:$E$45")&lt;&gt;"",1,0)), NOT(ISNUMBER(MATCH((ROW(INDIRECT("'"&amp;$B28&amp;"'!$E$29:$E$45"))-ROW(INDIRECT("'"&amp;$B28&amp;"'!$E$29"))+1)/--(IF(INDIRECT("'"&amp;$B28&amp;"'!$E$29:$E$45")&lt;&gt;"",1,0)), (ROW(INDIRECT("'"&amp;$B28&amp;"'!$E$29:$E$45"))-ROW(INDIRECT("'"&amp;$B28&amp;"'!$E$29"))+1)/--(FIND("VERIFICACIÓN: ", INDIRECT("'"&amp;$B28&amp;"'!$E$29:$E$45"))), 0))))),0))&lt;&gt;0,INDEX(INDIRECT("'"&amp;$B28&amp;"'!$A$29:$G$45"),MAX((IFERROR((ROW(INDIRECT("'"&amp;$B28&amp;"'!$E$29:$E$45"))-ROW(INDIRECT("'"&amp;$B28&amp;"'!$E$29"))+1)/--(IF(INDIRECT("'"&amp;$B28&amp;"'!$E$29:$E$45")&lt;&gt;"",1,0)),0))-(IFERROR((ROW(INDIRECT("'"&amp;$B28&amp;"'!$E$29:$E$45"))-ROW(INDIRECT("'"&amp;$B28&amp;"'!$E$29"))+1)/--(FIND("VERIFICACIÓN: ", INDIRECT("'"&amp;$B28&amp;"'!$E$29:$E$45"))),0))),5),"NO DISPONIBLE"))</f>
        <v>CMK-TFQ-25038 / COLMETRIK</v>
      </c>
      <c r="U28" s="3">
        <v>12</v>
      </c>
      <c r="V28" s="5" cm="1">
        <f t="array" aca="1" ref="V28" ca="1">IF((IFERROR(VLOOKUP(IFERROR(LOOKUP(2,1/((INDIRECT("'"&amp;$B28&amp;"'!$F$29:$F$45"))&lt;&gt;""),(INDIRECT("'"&amp;$B28&amp;"'!$F$29:$F$45"))),"NO DISPONIBLE"),CHOOSE({1,2},(INDIRECT("'"&amp;$B28&amp;"'!$F$29:$F$45")),(INDIRECT("'"&amp;$B28&amp;"'!$A$29:$A$45"))),2,0),0))&gt;(IFERROR(VLOOKUP(IFERROR(LOOKUP(2,1/((INDIRECT("'"&amp;$B28&amp;"'!$E$29:$E$45"))&lt;&gt;""),(INDIRECT("'"&amp;$B28&amp;"'!$E$29:$E$45"))),"NO DISPONIBLE"),CHOOSE({1,2},(INDIRECT("'"&amp;$B28&amp;"'!$E$29:$E$45")),(INDIRECT("'"&amp;$B28&amp;"'!$A$29:$A$45"))),2,0),0)),(IFERROR(VLOOKUP(IFERROR(LOOKUP(2,1/((INDIRECT("'"&amp;$B28&amp;"'!$F$29:$F$45"))&lt;&gt;""),(INDIRECT("'"&amp;$B28&amp;"'!$F$29:$F$45"))),"NO DISPONIBLE"),CHOOSE({1,2},(INDIRECT("'"&amp;$B28&amp;"'!$F$29:$F$45")),(INDIRECT("'"&amp;$B28&amp;"'!$A$29:$A$45"))),2,0),0)),(IFERROR(VLOOKUP(IFERROR(LOOKUP(2,1/((INDIRECT("'"&amp;$B28&amp;"'!$E$29:$E$45"))&lt;&gt;""),(INDIRECT("'"&amp;$B28&amp;"'!$E$29:$E$45"))),"NO DISPONIBLE"),CHOOSE({1,2},(INDIRECT("'"&amp;$B28&amp;"'!$E$29:$E$45")),(INDIRECT("'"&amp;$B28&amp;"'!$A$29:$A$45"))),2,0),0)))</f>
        <v>45716</v>
      </c>
      <c r="W28" s="6" t="s">
        <v>71</v>
      </c>
      <c r="X28" s="7" t="str" cm="1">
        <f t="array" aca="1" ref="X28" ca="1">IF((IFERROR(VLOOKUP(IFERROR(LOOKUP(2,1/((INDIRECT("'"&amp;$B28&amp;"'!$E$29:$E$45"))&lt;&gt;""),(INDIRECT("'"&amp;$B28&amp;"'!$E$29:$E$45"))),"NO DISPONIBLE"),CHOOSE({1,2},(INDIRECT("'"&amp;$B28&amp;"'!$E$29:$E$45")),(INDIRECT("'"&amp;$B28&amp;"'!$A$29:$A$45"))),2,0),0))&gt;(IFERROR(VLOOKUP(IFERROR(LOOKUP(2,1/((INDIRECT("'"&amp;$B28&amp;"'!$F$29:$F$45"))&lt;&gt;""),(INDIRECT("'"&amp;$B28&amp;"'!$F$29:$F$45"))),"NO DISPONIBLE"),CHOOSE({1,2},(INDIRECT("'"&amp;$B28&amp;"'!$F$29:$F$45")),(INDIRECT("'"&amp;$B28&amp;"'!$A$29:$A$45"))),2,0),0)),IFERROR(LOOKUP(2,1/((INDIRECT("'"&amp;$B28&amp;"'!$E$29:$E$45"))&lt;&gt;""),(INDIRECT("'"&amp;$B28&amp;"'!$E$29:$E$45"))),"NO DISPONIBLE"),IFERROR(LOOKUP(2,1/((INDIRECT("'"&amp;$B28&amp;"'!$F$29:$F$45"))&lt;&gt;""),(INDIRECT("'"&amp;$B28&amp;"'!$F$29:$F$45"))),"NO DISPONIBLE"))</f>
        <v>CMK-TFQ-25038 / COLMETRIK</v>
      </c>
      <c r="Y28" s="3">
        <v>36</v>
      </c>
      <c r="Z28" s="5" cm="1">
        <f t="array" aca="1" ref="Z28" ca="1">IF((IFERROR(VLOOKUP(IFERROR(LOOKUP(2,1/((INDIRECT("'"&amp;$B28&amp;"'!$D$29:$D$45"))&lt;&gt;""),(INDIRECT("'"&amp;$B28&amp;"'!$D$29:$D$45"))),"NO DISPONIBLE"),CHOOSE({1,2},(INDIRECT("'"&amp;$B28&amp;"'!$D$29:$D$45")),(INDIRECT("'"&amp;$B28&amp;"'!$A$29:$A$45"))),2,0),0))&gt;(IFERROR(VLOOKUP(IFERROR(LOOKUP(2,1/((INDIRECT("'"&amp;$B28&amp;"'!$C$29:$C$45"))&lt;&gt;""),(INDIRECT("'"&amp;$B28&amp;"'!$C$29:$C$45"))),"NO DISPONIBLE"),CHOOSE({1,2},(INDIRECT("'"&amp;$B28&amp;"'!$C$29:$C$45")),(INDIRECT("'"&amp;$B28&amp;"'!$A$29:$A$45"))),2,0),0)),(IFERROR(VLOOKUP(IFERROR(LOOKUP(2,1/((INDIRECT("'"&amp;$B28&amp;"'!$D$29:$D$45"))&lt;&gt;""),(INDIRECT("'"&amp;$B28&amp;"'!$D$29:$D$45"))),"NO DISPONIBLE"),CHOOSE({1,2},(INDIRECT("'"&amp;$B28&amp;"'!$D$29:$D$45")),(INDIRECT("'"&amp;$B28&amp;"'!$A$29:$A$45"))),2,0),0)),(IFERROR(VLOOKUP(IFERROR(LOOKUP(2,1/((INDIRECT("'"&amp;$B28&amp;"'!$C$29:$C$45"))&lt;&gt;""),(INDIRECT("'"&amp;$B28&amp;"'!$C$29:$C$45"))),"NO DISPONIBLE"),CHOOSE({1,2},(INDIRECT("'"&amp;$B28&amp;"'!$C$29:$C$45")),(INDIRECT("'"&amp;$B28&amp;"'!$A$29:$A$45"))),2,0),0)))</f>
        <v>45716</v>
      </c>
      <c r="AA28" s="6" t="s">
        <v>73</v>
      </c>
      <c r="AB28" s="7" t="str" cm="1">
        <f t="array" aca="1" ref="AB28" ca="1">IF((IFERROR(VLOOKUP(IFERROR(LOOKUP(2,1/((INDIRECT("'"&amp;$B28&amp;"'!$C$29:$C$45"))&lt;&gt;""),(INDIRECT("'"&amp;$B28&amp;"'!$C$29:$C$45"))),"NO DISPONIBLE"),CHOOSE({1,2},(INDIRECT("'"&amp;$B28&amp;"'!$C$29:$C$45")),(INDIRECT("'"&amp;$B28&amp;"'!$A$29:$A$45"))),2,0),0))&gt;(IFERROR(VLOOKUP(IFERROR(LOOKUP(2,1/((INDIRECT("'"&amp;$B28&amp;"'!$D$29:$D$45"))&lt;&gt;""),(INDIRECT("'"&amp;$B28&amp;"'!$D$29:$D$45"))),"NO DISPONIBLE"),CHOOSE({1,2},(INDIRECT("'"&amp;$B28&amp;"'!$D$29:$D$45")),(INDIRECT("'"&amp;$B28&amp;"'!$A$29:$A$45"))),2,0),0)),IFERROR(LOOKUP(2,1/((INDIRECT("'"&amp;$B28&amp;"'!$C$29:$C$45"))&lt;&gt;""),(INDIRECT("'"&amp;$B28&amp;"'!$C$29:$C$45"))),"NO DISPONIBLE"),IFERROR(LOOKUP(2,1/((INDIRECT("'"&amp;$B28&amp;"'!$D$29:$D$45"))&lt;&gt;""),(INDIRECT("'"&amp;$B28&amp;"'!$D$29:$D$45"))),"NO DISPONIBLE"))</f>
        <v>CMK-TFQ-25038 / COLMETRIK</v>
      </c>
      <c r="AC28" s="6" t="s">
        <v>82</v>
      </c>
      <c r="AD28" s="8"/>
    </row>
    <row r="29" spans="1:30" x14ac:dyDescent="0.3">
      <c r="A29" s="2" t="s">
        <v>44</v>
      </c>
      <c r="B29" s="2" t="str" cm="1">
        <f t="array" aca="1" ref="B29" ca="1">INDIRECT("'"&amp;$B29&amp;"'!$A$6")</f>
        <v>PATRONES METALICOS</v>
      </c>
      <c r="C29" s="3" t="str" cm="1">
        <f t="array" aca="1" ref="C29" ca="1">INDIRECT("'"&amp;$B29&amp;"'!$G$14")</f>
        <v>NO PORTA</v>
      </c>
      <c r="D29" s="3" t="str" cm="1">
        <f t="array" aca="1" ref="D29" ca="1">INDIRECT("'"&amp;$B29&amp;"'!$G$15")</f>
        <v>NO PORTA</v>
      </c>
      <c r="E29" s="24" t="str" cm="1">
        <f t="array" aca="1" ref="E29" ca="1">INDIRECT("'"&amp;$B29&amp;"'!$G$16")</f>
        <v>NO PORTA</v>
      </c>
      <c r="F29" s="3" t="s">
        <v>65</v>
      </c>
      <c r="G29" s="3" t="s">
        <v>67</v>
      </c>
      <c r="H29" s="3" t="str" cm="1">
        <f t="array" aca="1" ref="H29" ca="1">INDIRECT("'"&amp;$B29&amp;"'!$G$11")</f>
        <v>QUIMICAS</v>
      </c>
      <c r="I29" s="3" t="str" cm="1">
        <f t="array" aca="1" ref="I29" ca="1">INDIRECT("'"&amp;$B29&amp;"'!$C$11")</f>
        <v>MEDIA</v>
      </c>
      <c r="J29" s="3" t="str" cm="1">
        <f t="array" aca="1" ref="J29" ca="1">INDIRECT("'"&amp;$B29&amp;"'!$G$21")</f>
        <v>N/A</v>
      </c>
      <c r="K29" s="3" t="str" cm="1">
        <f t="array" aca="1" ref="K29" ca="1">INDIRECT("'"&amp;$B29&amp;"'!$G$22")</f>
        <v>N/A</v>
      </c>
      <c r="L29" s="3" t="str" cm="1">
        <f t="array" aca="1" ref="L29" ca="1">INDIRECT("'"&amp;$B29&amp;"'!$G$23")</f>
        <v>N/A</v>
      </c>
      <c r="M29" s="4"/>
      <c r="N29" s="3" t="str" cm="1">
        <f t="array" aca="1" ref="N29" ca="1">INDIRECT("'"&amp;$B29&amp;"'!$G$22")</f>
        <v>N/A</v>
      </c>
      <c r="O29" s="3"/>
      <c r="P29" s="7" t="str" cm="1">
        <f t="array" aca="1" ref="P29" ca="1">IFERROR(LOOKUP(2,1/((INDIRECT("'"&amp;$B29&amp;"'!$G$29:$G$45"))&lt;&gt;""),(INDIRECT("'"&amp;$B29&amp;"'!$G$29:$G$45"))),"NO DISPONIBLE")</f>
        <v>FUNCIONAL</v>
      </c>
      <c r="Q29" s="3" t="s">
        <v>69</v>
      </c>
      <c r="R29" s="5" cm="1">
        <f t="array" aca="1" ref="R29" ca="1">IF(IF(MAX((IFERROR((ROW(INDIRECT("'"&amp;$B29&amp;"'!$F$29:$F$45"))-ROW(INDIRECT("'"&amp;$B29&amp;"'!$F$29"))+1)/--(IF(INDIRECT("'"&amp;$B29&amp;"'!$F$29:$F$45")&lt;&gt;"",1,0)),0))-(IFERROR((ROW(INDIRECT("'"&amp;$B29&amp;"'!$F$29:$F$45"))-ROW(INDIRECT("'"&amp;$B29&amp;"'!$F$29"))+1)/--(FIND("VERIFICACIÓN: ", INDIRECT("'"&amp;$B29&amp;"'!$F$29:$F$45"))),0)))&lt;&gt;0,INDEX(INDIRECT("'"&amp;$B29&amp;"'!$A$29:$G$45"),MAX((IFERROR((ROW(INDIRECT("'"&amp;$B29&amp;"'!$F$29:$F$45"))-ROW(INDIRECT("'"&amp;$B29&amp;"'!$F$29"))+1)/--(IF(INDIRECT("'"&amp;$B29&amp;"'!$F$29:$F$45")&lt;&gt;"",1,0)),0))-(IFERROR((ROW(INDIRECT("'"&amp;$B29&amp;"'!$F$29:$F$45"))-ROW(INDIRECT("'"&amp;$B29&amp;"'!$F$29"))+1)/--(FIND("VERIFICACIÓN: ", INDIRECT("'"&amp;$B29&amp;"'!$F$29:$F$45"))),0))),1),0)&gt;IF(MAX(IFERROR((_xlfn._xlws.FILTER((ROW(INDIRECT("'"&amp;$B29&amp;"'!$E$29:$E$45"))-ROW(INDIRECT("'"&amp;$B29&amp;"'!$E$29"))+1)/--(IF(INDIRECT("'"&amp;$B29&amp;"'!$E$29:$E$45")&lt;&gt;"",1,0)), NOT(ISNUMBER(MATCH((ROW(INDIRECT("'"&amp;$B29&amp;"'!$E$29:$E$45"))-ROW(INDIRECT("'"&amp;$B29&amp;"'!$E$29"))+1)/--(IF(INDIRECT("'"&amp;$B29&amp;"'!$E$29:$E$45")&lt;&gt;"",1,0)), (ROW(INDIRECT("'"&amp;$B29&amp;"'!$E$29:$E$45"))-ROW(INDIRECT("'"&amp;$B29&amp;"'!$E$29"))+1)/--(FIND("VERIFICACIÓN: ", INDIRECT("'"&amp;$B29&amp;"'!$E$29:$E$45"))), 0))))),0))&lt;&gt;0,INDEX(INDIRECT("'"&amp;$B29&amp;"'!$A$29:$G$45"),MAX((IFERROR((ROW(INDIRECT("'"&amp;$B29&amp;"'!$E$29:$E$45"))-ROW(INDIRECT("'"&amp;$B29&amp;"'!$E$29"))+1)/--(IF(INDIRECT("'"&amp;$B29&amp;"'!$E$29:$E$45")&lt;&gt;"",1,0)),0))-(IFERROR((ROW(INDIRECT("'"&amp;$B29&amp;"'!$E$29:$E$45"))-ROW(INDIRECT("'"&amp;$B29&amp;"'!$E$29"))+1)/--(FIND("VERIFICACIÓN: ", INDIRECT("'"&amp;$B29&amp;"'!$E$29:$E$45"))),0))),1),0),IF(MAX((IFERROR((ROW(INDIRECT("'"&amp;$B29&amp;"'!$F$29:$F$45"))-ROW(INDIRECT("'"&amp;$B29&amp;"'!$F$29"))+1)/--(IF(INDIRECT("'"&amp;$B29&amp;"'!$F$29:$F$45")&lt;&gt;"",1,0)),0))-(IFERROR((ROW(INDIRECT("'"&amp;$B29&amp;"'!$F$29:$F$45"))-ROW(INDIRECT("'"&amp;$B29&amp;"'!$F$29"))+1)/--(FIND("VERIFICACIÓN: ", INDIRECT("'"&amp;$B29&amp;"'!$F$29:$F$45"))),0)))&lt;&gt;0,INDEX(INDIRECT("'"&amp;$B29&amp;"'!$A$29:$G$45"),MAX((IFERROR((ROW(INDIRECT("'"&amp;$B29&amp;"'!$F$29:$F$45"))-ROW(INDIRECT("'"&amp;$B29&amp;"'!$F$29"))+1)/--(IF(INDIRECT("'"&amp;$B29&amp;"'!$F$29:$F$45")&lt;&gt;"",1,0)),0))-(IFERROR((ROW(INDIRECT("'"&amp;$B29&amp;"'!$F$29:$F$45"))-ROW(INDIRECT("'"&amp;$B29&amp;"'!$F$29"))+1)/--(FIND("VERIFICACIÓN: ", INDIRECT("'"&amp;$B29&amp;"'!$F$29:$F$45"))),0))),1),0),IF(MAX(IFERROR((_xlfn._xlws.FILTER((ROW(INDIRECT("'"&amp;$B29&amp;"'!$E$29:$E$45"))-ROW(INDIRECT("'"&amp;$B29&amp;"'!$E$29"))+1)/--(IF(INDIRECT("'"&amp;$B29&amp;"'!$E$29:$E$45")&lt;&gt;"",1,0)), NOT(ISNUMBER(MATCH((ROW(INDIRECT("'"&amp;$B29&amp;"'!$E$29:$E$45"))-ROW(INDIRECT("'"&amp;$B29&amp;"'!$E$29"))+1)/--(IF(INDIRECT("'"&amp;$B29&amp;"'!$E$29:$E$45")&lt;&gt;"",1,0)), (ROW(INDIRECT("'"&amp;$B29&amp;"'!$E$29:$E$45"))-ROW(INDIRECT("'"&amp;$B29&amp;"'!$E$29"))+1)/--(FIND("VERIFICACIÓN: ", INDIRECT("'"&amp;$B29&amp;"'!$E$29:$E$45"))), 0))))),0))&lt;&gt;0,INDEX(INDIRECT("'"&amp;$B29&amp;"'!$A$29:$G$45"),MAX((IFERROR((ROW(INDIRECT("'"&amp;$B29&amp;"'!$E$29:$E$45"))-ROW(INDIRECT("'"&amp;$B29&amp;"'!$E$29"))+1)/--(IF(INDIRECT("'"&amp;$B29&amp;"'!$E$29:$E$45")&lt;&gt;"",1,0)),0))-(IFERROR((ROW(INDIRECT("'"&amp;$B29&amp;"'!$E$29:$E$45"))-ROW(INDIRECT("'"&amp;$B29&amp;"'!$E$29"))+1)/--(FIND("VERIFICACIÓN: ", INDIRECT("'"&amp;$B29&amp;"'!$E$29:$E$45"))),0))),1),0))</f>
        <v>0</v>
      </c>
      <c r="S29" s="6" t="s">
        <v>70</v>
      </c>
      <c r="T29" s="7" t="str" cm="1">
        <f t="array" aca="1" ref="T29" ca="1">IF(IF(MAX((IFERROR((ROW(INDIRECT("'"&amp;$B29&amp;"'!$F$29:$F$45"))-ROW(INDIRECT("'"&amp;$B29&amp;"'!$F$29"))+1)/--(IF(INDIRECT("'"&amp;$B29&amp;"'!$F$29:$F$45")&lt;&gt;"",1,0)),0))-(IFERROR((ROW(INDIRECT("'"&amp;$B29&amp;"'!$F$29:$F$45"))-ROW(INDIRECT("'"&amp;$B29&amp;"'!$F$29"))+1)/--(FIND("VERIFICACIÓN: ", INDIRECT("'"&amp;$B29&amp;"'!$F$29:$F$45"))),0)))&lt;&gt;0,INDEX(INDIRECT("'"&amp;$B29&amp;"'!$A$29:$G$45"),MAX((IFERROR((ROW(INDIRECT("'"&amp;$B29&amp;"'!$F$29:$F$45"))-ROW(INDIRECT("'"&amp;$B29&amp;"'!$F$29"))+1)/--(IF(INDIRECT("'"&amp;$B29&amp;"'!$F$29:$F$45")&lt;&gt;"",1,0)),0))-(IFERROR((ROW(INDIRECT("'"&amp;$B29&amp;"'!$F$29:$F$45"))-ROW(INDIRECT("'"&amp;$B29&amp;"'!$F$29"))+1)/--(FIND("VERIFICACIÓN: ", INDIRECT("'"&amp;$B29&amp;"'!$F$29:$F$45"))),0))),1),0)&gt;IF(MAX(IFERROR((_xlfn._xlws.FILTER((ROW(INDIRECT("'"&amp;$B29&amp;"'!$E$29:$E$45"))-ROW(INDIRECT("'"&amp;$B29&amp;"'!$E$29"))+1)/--(IF(INDIRECT("'"&amp;$B29&amp;"'!$E$29:$E$45")&lt;&gt;"",1,0)), NOT(ISNUMBER(MATCH((ROW(INDIRECT("'"&amp;$B29&amp;"'!$E$29:$E$45"))-ROW(INDIRECT("'"&amp;$B29&amp;"'!$E$29"))+1)/--(IF(INDIRECT("'"&amp;$B29&amp;"'!$E$29:$E$45")&lt;&gt;"",1,0)), (ROW(INDIRECT("'"&amp;$B29&amp;"'!$E$29:$E$45"))-ROW(INDIRECT("'"&amp;$B29&amp;"'!$E$29"))+1)/--(FIND("VERIFICACIÓN: ", INDIRECT("'"&amp;$B29&amp;"'!$E$29:$E$45"))), 0))))),0))&lt;&gt;0,INDEX(INDIRECT("'"&amp;$B29&amp;"'!$A$29:$G$45"),MAX((IFERROR((ROW(INDIRECT("'"&amp;$B29&amp;"'!$E$29:$E$45"))-ROW(INDIRECT("'"&amp;$B29&amp;"'!$E$29"))+1)/--(IF(INDIRECT("'"&amp;$B29&amp;"'!$E$29:$E$45")&lt;&gt;"",1,0)),0))-(IFERROR((ROW(INDIRECT("'"&amp;$B29&amp;"'!$E$29:$E$45"))-ROW(INDIRECT("'"&amp;$B29&amp;"'!$E$29"))+1)/--(FIND("VERIFICACIÓN: ", INDIRECT("'"&amp;$B29&amp;"'!$E$29:$E$45"))),0))),1),0),IF(MAX((IFERROR((ROW(INDIRECT("'"&amp;$B29&amp;"'!$F$29:$F$45"))-ROW(INDIRECT("'"&amp;$B29&amp;"'!$F$29"))+1)/--(IF(INDIRECT("'"&amp;$B29&amp;"'!$F$29:$F$45")&lt;&gt;"",1,0)),0))-(IFERROR((ROW(INDIRECT("'"&amp;$B29&amp;"'!$F$29:$F$45"))-ROW(INDIRECT("'"&amp;$B29&amp;"'!$F$29"))+1)/--(FIND("VERIFICACIÓN: ", INDIRECT("'"&amp;$B29&amp;"'!$F$29:$F$45"))),0)))&lt;&gt;0,INDEX(INDIRECT("'"&amp;$B29&amp;"'!$A$29:$G$45"),MAX((IFERROR((ROW(INDIRECT("'"&amp;$B29&amp;"'!$F$29:$F$45"))-ROW(INDIRECT("'"&amp;$B29&amp;"'!$F$29"))+1)/--(IF(INDIRECT("'"&amp;$B29&amp;"'!$F$29:$F$45")&lt;&gt;"",1,0)),0))-(IFERROR((ROW(INDIRECT("'"&amp;$B29&amp;"'!$F$29:$F$45"))-ROW(INDIRECT("'"&amp;$B29&amp;"'!$F$29"))+1)/--(FIND("VERIFICACIÓN: ", INDIRECT("'"&amp;$B29&amp;"'!$F$29:$F$45"))),0))),6),"NO DISPONIBLE"),IF(MAX(IFERROR((_xlfn._xlws.FILTER((ROW(INDIRECT("'"&amp;$B29&amp;"'!$E$29:$E$45"))-ROW(INDIRECT("'"&amp;$B29&amp;"'!$E$29"))+1)/--(IF(INDIRECT("'"&amp;$B29&amp;"'!$E$29:$E$45")&lt;&gt;"",1,0)), NOT(ISNUMBER(MATCH((ROW(INDIRECT("'"&amp;$B29&amp;"'!$E$29:$E$45"))-ROW(INDIRECT("'"&amp;$B29&amp;"'!$E$29"))+1)/--(IF(INDIRECT("'"&amp;$B29&amp;"'!$E$29:$E$45")&lt;&gt;"",1,0)), (ROW(INDIRECT("'"&amp;$B29&amp;"'!$E$29:$E$45"))-ROW(INDIRECT("'"&amp;$B29&amp;"'!$E$29"))+1)/--(FIND("VERIFICACIÓN: ", INDIRECT("'"&amp;$B29&amp;"'!$E$29:$E$45"))), 0))))),0))&lt;&gt;0,INDEX(INDIRECT("'"&amp;$B29&amp;"'!$A$29:$G$45"),MAX((IFERROR((ROW(INDIRECT("'"&amp;$B29&amp;"'!$E$29:$E$45"))-ROW(INDIRECT("'"&amp;$B29&amp;"'!$E$29"))+1)/--(IF(INDIRECT("'"&amp;$B29&amp;"'!$E$29:$E$45")&lt;&gt;"",1,0)),0))-(IFERROR((ROW(INDIRECT("'"&amp;$B29&amp;"'!$E$29:$E$45"))-ROW(INDIRECT("'"&amp;$B29&amp;"'!$E$29"))+1)/--(FIND("VERIFICACIÓN: ", INDIRECT("'"&amp;$B29&amp;"'!$E$29:$E$45"))),0))),5),"NO DISPONIBLE"))</f>
        <v>NO DISPONIBLE</v>
      </c>
      <c r="U29" s="3" t="s">
        <v>69</v>
      </c>
      <c r="V29" s="5" cm="1">
        <f t="array" aca="1" ref="V29" ca="1">IF((IFERROR(VLOOKUP(IFERROR(LOOKUP(2,1/((INDIRECT("'"&amp;$B29&amp;"'!$F$29:$F$45"))&lt;&gt;""),(INDIRECT("'"&amp;$B29&amp;"'!$F$29:$F$45"))),"NO DISPONIBLE"),CHOOSE({1,2},(INDIRECT("'"&amp;$B29&amp;"'!$F$29:$F$45")),(INDIRECT("'"&amp;$B29&amp;"'!$A$29:$A$45"))),2,0),0))&gt;(IFERROR(VLOOKUP(IFERROR(LOOKUP(2,1/((INDIRECT("'"&amp;$B29&amp;"'!$E$29:$E$45"))&lt;&gt;""),(INDIRECT("'"&amp;$B29&amp;"'!$E$29:$E$45"))),"NO DISPONIBLE"),CHOOSE({1,2},(INDIRECT("'"&amp;$B29&amp;"'!$E$29:$E$45")),(INDIRECT("'"&amp;$B29&amp;"'!$A$29:$A$45"))),2,0),0)),(IFERROR(VLOOKUP(IFERROR(LOOKUP(2,1/((INDIRECT("'"&amp;$B29&amp;"'!$F$29:$F$45"))&lt;&gt;""),(INDIRECT("'"&amp;$B29&amp;"'!$F$29:$F$45"))),"NO DISPONIBLE"),CHOOSE({1,2},(INDIRECT("'"&amp;$B29&amp;"'!$F$29:$F$45")),(INDIRECT("'"&amp;$B29&amp;"'!$A$29:$A$45"))),2,0),0)),(IFERROR(VLOOKUP(IFERROR(LOOKUP(2,1/((INDIRECT("'"&amp;$B29&amp;"'!$E$29:$E$45"))&lt;&gt;""),(INDIRECT("'"&amp;$B29&amp;"'!$E$29:$E$45"))),"NO DISPONIBLE"),CHOOSE({1,2},(INDIRECT("'"&amp;$B29&amp;"'!$E$29:$E$45")),(INDIRECT("'"&amp;$B29&amp;"'!$A$29:$A$45"))),2,0),0)))</f>
        <v>0</v>
      </c>
      <c r="W29" s="6" t="s">
        <v>70</v>
      </c>
      <c r="X29" s="7" t="str" cm="1">
        <f t="array" aca="1" ref="X29" ca="1">IF((IFERROR(VLOOKUP(IFERROR(LOOKUP(2,1/((INDIRECT("'"&amp;$B29&amp;"'!$E$29:$E$45"))&lt;&gt;""),(INDIRECT("'"&amp;$B29&amp;"'!$E$29:$E$45"))),"NO DISPONIBLE"),CHOOSE({1,2},(INDIRECT("'"&amp;$B29&amp;"'!$E$29:$E$45")),(INDIRECT("'"&amp;$B29&amp;"'!$A$29:$A$45"))),2,0),0))&gt;(IFERROR(VLOOKUP(IFERROR(LOOKUP(2,1/((INDIRECT("'"&amp;$B29&amp;"'!$F$29:$F$45"))&lt;&gt;""),(INDIRECT("'"&amp;$B29&amp;"'!$F$29:$F$45"))),"NO DISPONIBLE"),CHOOSE({1,2},(INDIRECT("'"&amp;$B29&amp;"'!$F$29:$F$45")),(INDIRECT("'"&amp;$B29&amp;"'!$A$29:$A$45"))),2,0),0)),IFERROR(LOOKUP(2,1/((INDIRECT("'"&amp;$B29&amp;"'!$E$29:$E$45"))&lt;&gt;""),(INDIRECT("'"&amp;$B29&amp;"'!$E$29:$E$45"))),"NO DISPONIBLE"),IFERROR(LOOKUP(2,1/((INDIRECT("'"&amp;$B29&amp;"'!$F$29:$F$45"))&lt;&gt;""),(INDIRECT("'"&amp;$B29&amp;"'!$F$29:$F$45"))),"NO DISPONIBLE"))</f>
        <v>NO DISPONIBLE</v>
      </c>
      <c r="Y29" s="3" t="s">
        <v>69</v>
      </c>
      <c r="Z29" s="5" cm="1">
        <f t="array" aca="1" ref="Z29" ca="1">IF((IFERROR(VLOOKUP(IFERROR(LOOKUP(2,1/((INDIRECT("'"&amp;$B29&amp;"'!$D$29:$D$45"))&lt;&gt;""),(INDIRECT("'"&amp;$B29&amp;"'!$D$29:$D$45"))),"NO DISPONIBLE"),CHOOSE({1,2},(INDIRECT("'"&amp;$B29&amp;"'!$D$29:$D$45")),(INDIRECT("'"&amp;$B29&amp;"'!$A$29:$A$45"))),2,0),0))&gt;(IFERROR(VLOOKUP(IFERROR(LOOKUP(2,1/((INDIRECT("'"&amp;$B29&amp;"'!$C$29:$C$45"))&lt;&gt;""),(INDIRECT("'"&amp;$B29&amp;"'!$C$29:$C$45"))),"NO DISPONIBLE"),CHOOSE({1,2},(INDIRECT("'"&amp;$B29&amp;"'!$C$29:$C$45")),(INDIRECT("'"&amp;$B29&amp;"'!$A$29:$A$45"))),2,0),0)),(IFERROR(VLOOKUP(IFERROR(LOOKUP(2,1/((INDIRECT("'"&amp;$B29&amp;"'!$D$29:$D$45"))&lt;&gt;""),(INDIRECT("'"&amp;$B29&amp;"'!$D$29:$D$45"))),"NO DISPONIBLE"),CHOOSE({1,2},(INDIRECT("'"&amp;$B29&amp;"'!$D$29:$D$45")),(INDIRECT("'"&amp;$B29&amp;"'!$A$29:$A$45"))),2,0),0)),(IFERROR(VLOOKUP(IFERROR(LOOKUP(2,1/((INDIRECT("'"&amp;$B29&amp;"'!$C$29:$C$45"))&lt;&gt;""),(INDIRECT("'"&amp;$B29&amp;"'!$C$29:$C$45"))),"NO DISPONIBLE"),CHOOSE({1,2},(INDIRECT("'"&amp;$B29&amp;"'!$C$29:$C$45")),(INDIRECT("'"&amp;$B29&amp;"'!$A$29:$A$45"))),2,0),0)))</f>
        <v>0</v>
      </c>
      <c r="AA29" s="6" t="s">
        <v>70</v>
      </c>
      <c r="AB29" s="7" t="str" cm="1">
        <f t="array" aca="1" ref="AB29" ca="1">IF((IFERROR(VLOOKUP(IFERROR(LOOKUP(2,1/((INDIRECT("'"&amp;$B29&amp;"'!$C$29:$C$45"))&lt;&gt;""),(INDIRECT("'"&amp;$B29&amp;"'!$C$29:$C$45"))),"NO DISPONIBLE"),CHOOSE({1,2},(INDIRECT("'"&amp;$B29&amp;"'!$C$29:$C$45")),(INDIRECT("'"&amp;$B29&amp;"'!$A$29:$A$45"))),2,0),0))&gt;(IFERROR(VLOOKUP(IFERROR(LOOKUP(2,1/((INDIRECT("'"&amp;$B29&amp;"'!$D$29:$D$45"))&lt;&gt;""),(INDIRECT("'"&amp;$B29&amp;"'!$D$29:$D$45"))),"NO DISPONIBLE"),CHOOSE({1,2},(INDIRECT("'"&amp;$B29&amp;"'!$D$29:$D$45")),(INDIRECT("'"&amp;$B29&amp;"'!$A$29:$A$45"))),2,0),0)),IFERROR(LOOKUP(2,1/((INDIRECT("'"&amp;$B29&amp;"'!$C$29:$C$45"))&lt;&gt;""),(INDIRECT("'"&amp;$B29&amp;"'!$C$29:$C$45"))),"NO DISPONIBLE"),IFERROR(LOOKUP(2,1/((INDIRECT("'"&amp;$B29&amp;"'!$D$29:$D$45"))&lt;&gt;""),(INDIRECT("'"&amp;$B29&amp;"'!$D$29:$D$45"))),"NO DISPONIBLE"))</f>
        <v>NO DISPONIBLE</v>
      </c>
      <c r="AC29" s="6" t="s">
        <v>82</v>
      </c>
      <c r="AD29" s="8"/>
    </row>
    <row r="30" spans="1:30" x14ac:dyDescent="0.3">
      <c r="A30" s="2" t="s">
        <v>45</v>
      </c>
      <c r="B30" s="2" t="str" cm="1">
        <f t="array" aca="1" ref="B30" ca="1">INDIRECT("'"&amp;$B30&amp;"'!$A$6")</f>
        <v>TERMOMETRO PUNZON</v>
      </c>
      <c r="C30" s="3" t="str" cm="1">
        <f t="array" aca="1" ref="C30" ca="1">INDIRECT("'"&amp;$B30&amp;"'!$G$14")</f>
        <v>HANNA INSTRUMENTS</v>
      </c>
      <c r="D30" s="3" t="str" cm="1">
        <f t="array" aca="1" ref="D30" ca="1">INDIRECT("'"&amp;$B30&amp;"'!$G$15")</f>
        <v>HI98501</v>
      </c>
      <c r="E30" s="24" t="str" cm="1">
        <f t="array" aca="1" ref="E30" ca="1">INDIRECT("'"&amp;$B30&amp;"'!$G$16")</f>
        <v>1560E5</v>
      </c>
      <c r="F30" s="3" t="s">
        <v>66</v>
      </c>
      <c r="G30" s="3" t="s">
        <v>67</v>
      </c>
      <c r="H30" s="3" t="str" cm="1">
        <f t="array" aca="1" ref="H30" ca="1">INDIRECT("'"&amp;$B30&amp;"'!$G$11")</f>
        <v>TEMPERATURA</v>
      </c>
      <c r="I30" s="3" t="str" cm="1">
        <f t="array" aca="1" ref="I30" ca="1">INDIRECT("'"&amp;$B30&amp;"'!$C$11")</f>
        <v>ALTA</v>
      </c>
      <c r="J30" s="3" t="str" cm="1">
        <f t="array" aca="1" ref="J30" ca="1">INDIRECT("'"&amp;$B30&amp;"'!$G$21")</f>
        <v>150° C</v>
      </c>
      <c r="K30" s="3" t="str" cm="1">
        <f t="array" aca="1" ref="K30" ca="1">INDIRECT("'"&amp;$B30&amp;"'!$G$22")</f>
        <v>- 50 °C</v>
      </c>
      <c r="L30" s="3" t="str" cm="1">
        <f t="array" aca="1" ref="L30" ca="1">INDIRECT("'"&amp;$B30&amp;"'!$G$23")</f>
        <v>0,1 °C</v>
      </c>
      <c r="M30" s="4"/>
      <c r="N30" s="3" t="str" cm="1">
        <f t="array" aca="1" ref="N30" ca="1">INDIRECT("'"&amp;$B30&amp;"'!$G$22")</f>
        <v>- 50 °C</v>
      </c>
      <c r="O30" s="3"/>
      <c r="P30" s="7" t="str" cm="1">
        <f t="array" aca="1" ref="P30" ca="1">IFERROR(LOOKUP(2,1/((INDIRECT("'"&amp;$B30&amp;"'!$G$29:$G$45"))&lt;&gt;""),(INDIRECT("'"&amp;$B30&amp;"'!$G$29:$G$45"))),"NO DISPONIBLE")</f>
        <v>FUNCIONAL</v>
      </c>
      <c r="Q30" s="3" t="s">
        <v>69</v>
      </c>
      <c r="R30" s="5" cm="1">
        <f t="array" aca="1" ref="R30" ca="1">IF(IF(MAX((IFERROR((ROW(INDIRECT("'"&amp;$B30&amp;"'!$F$29:$F$45"))-ROW(INDIRECT("'"&amp;$B30&amp;"'!$F$29"))+1)/--(IF(INDIRECT("'"&amp;$B30&amp;"'!$F$29:$F$45")&lt;&gt;"",1,0)),0))-(IFERROR((ROW(INDIRECT("'"&amp;$B30&amp;"'!$F$29:$F$45"))-ROW(INDIRECT("'"&amp;$B30&amp;"'!$F$29"))+1)/--(FIND("VERIFICACIÓN: ", INDIRECT("'"&amp;$B30&amp;"'!$F$29:$F$45"))),0)))&lt;&gt;0,INDEX(INDIRECT("'"&amp;$B30&amp;"'!$A$29:$G$45"),MAX((IFERROR((ROW(INDIRECT("'"&amp;$B30&amp;"'!$F$29:$F$45"))-ROW(INDIRECT("'"&amp;$B30&amp;"'!$F$29"))+1)/--(IF(INDIRECT("'"&amp;$B30&amp;"'!$F$29:$F$45")&lt;&gt;"",1,0)),0))-(IFERROR((ROW(INDIRECT("'"&amp;$B30&amp;"'!$F$29:$F$45"))-ROW(INDIRECT("'"&amp;$B30&amp;"'!$F$29"))+1)/--(FIND("VERIFICACIÓN: ", INDIRECT("'"&amp;$B30&amp;"'!$F$29:$F$45"))),0))),1),0)&gt;IF(MAX(IFERROR((_xlfn._xlws.FILTER((ROW(INDIRECT("'"&amp;$B30&amp;"'!$E$29:$E$45"))-ROW(INDIRECT("'"&amp;$B30&amp;"'!$E$29"))+1)/--(IF(INDIRECT("'"&amp;$B30&amp;"'!$E$29:$E$45")&lt;&gt;"",1,0)), NOT(ISNUMBER(MATCH((ROW(INDIRECT("'"&amp;$B30&amp;"'!$E$29:$E$45"))-ROW(INDIRECT("'"&amp;$B30&amp;"'!$E$29"))+1)/--(IF(INDIRECT("'"&amp;$B30&amp;"'!$E$29:$E$45")&lt;&gt;"",1,0)), (ROW(INDIRECT("'"&amp;$B30&amp;"'!$E$29:$E$45"))-ROW(INDIRECT("'"&amp;$B30&amp;"'!$E$29"))+1)/--(FIND("VERIFICACIÓN: ", INDIRECT("'"&amp;$B30&amp;"'!$E$29:$E$45"))), 0))))),0))&lt;&gt;0,INDEX(INDIRECT("'"&amp;$B30&amp;"'!$A$29:$G$45"),MAX((IFERROR((ROW(INDIRECT("'"&amp;$B30&amp;"'!$E$29:$E$45"))-ROW(INDIRECT("'"&amp;$B30&amp;"'!$E$29"))+1)/--(IF(INDIRECT("'"&amp;$B30&amp;"'!$E$29:$E$45")&lt;&gt;"",1,0)),0))-(IFERROR((ROW(INDIRECT("'"&amp;$B30&amp;"'!$E$29:$E$45"))-ROW(INDIRECT("'"&amp;$B30&amp;"'!$E$29"))+1)/--(FIND("VERIFICACIÓN: ", INDIRECT("'"&amp;$B30&amp;"'!$E$29:$E$45"))),0))),1),0),IF(MAX((IFERROR((ROW(INDIRECT("'"&amp;$B30&amp;"'!$F$29:$F$45"))-ROW(INDIRECT("'"&amp;$B30&amp;"'!$F$29"))+1)/--(IF(INDIRECT("'"&amp;$B30&amp;"'!$F$29:$F$45")&lt;&gt;"",1,0)),0))-(IFERROR((ROW(INDIRECT("'"&amp;$B30&amp;"'!$F$29:$F$45"))-ROW(INDIRECT("'"&amp;$B30&amp;"'!$F$29"))+1)/--(FIND("VERIFICACIÓN: ", INDIRECT("'"&amp;$B30&amp;"'!$F$29:$F$45"))),0)))&lt;&gt;0,INDEX(INDIRECT("'"&amp;$B30&amp;"'!$A$29:$G$45"),MAX((IFERROR((ROW(INDIRECT("'"&amp;$B30&amp;"'!$F$29:$F$45"))-ROW(INDIRECT("'"&amp;$B30&amp;"'!$F$29"))+1)/--(IF(INDIRECT("'"&amp;$B30&amp;"'!$F$29:$F$45")&lt;&gt;"",1,0)),0))-(IFERROR((ROW(INDIRECT("'"&amp;$B30&amp;"'!$F$29:$F$45"))-ROW(INDIRECT("'"&amp;$B30&amp;"'!$F$29"))+1)/--(FIND("VERIFICACIÓN: ", INDIRECT("'"&amp;$B30&amp;"'!$F$29:$F$45"))),0))),1),0),IF(MAX(IFERROR((_xlfn._xlws.FILTER((ROW(INDIRECT("'"&amp;$B30&amp;"'!$E$29:$E$45"))-ROW(INDIRECT("'"&amp;$B30&amp;"'!$E$29"))+1)/--(IF(INDIRECT("'"&amp;$B30&amp;"'!$E$29:$E$45")&lt;&gt;"",1,0)), NOT(ISNUMBER(MATCH((ROW(INDIRECT("'"&amp;$B30&amp;"'!$E$29:$E$45"))-ROW(INDIRECT("'"&amp;$B30&amp;"'!$E$29"))+1)/--(IF(INDIRECT("'"&amp;$B30&amp;"'!$E$29:$E$45")&lt;&gt;"",1,0)), (ROW(INDIRECT("'"&amp;$B30&amp;"'!$E$29:$E$45"))-ROW(INDIRECT("'"&amp;$B30&amp;"'!$E$29"))+1)/--(FIND("VERIFICACIÓN: ", INDIRECT("'"&amp;$B30&amp;"'!$E$29:$E$45"))), 0))))),0))&lt;&gt;0,INDEX(INDIRECT("'"&amp;$B30&amp;"'!$A$29:$G$45"),MAX((IFERROR((ROW(INDIRECT("'"&amp;$B30&amp;"'!$E$29:$E$45"))-ROW(INDIRECT("'"&amp;$B30&amp;"'!$E$29"))+1)/--(IF(INDIRECT("'"&amp;$B30&amp;"'!$E$29:$E$45")&lt;&gt;"",1,0)),0))-(IFERROR((ROW(INDIRECT("'"&amp;$B30&amp;"'!$E$29:$E$45"))-ROW(INDIRECT("'"&amp;$B30&amp;"'!$E$29"))+1)/--(FIND("VERIFICACIÓN: ", INDIRECT("'"&amp;$B30&amp;"'!$E$29:$E$45"))),0))),1),0))</f>
        <v>45140</v>
      </c>
      <c r="S30" s="6" t="s">
        <v>70</v>
      </c>
      <c r="T30" s="7" t="str" cm="1">
        <f t="array" aca="1" ref="T30" ca="1">IF(IF(MAX((IFERROR((ROW(INDIRECT("'"&amp;$B30&amp;"'!$F$29:$F$45"))-ROW(INDIRECT("'"&amp;$B30&amp;"'!$F$29"))+1)/--(IF(INDIRECT("'"&amp;$B30&amp;"'!$F$29:$F$45")&lt;&gt;"",1,0)),0))-(IFERROR((ROW(INDIRECT("'"&amp;$B30&amp;"'!$F$29:$F$45"))-ROW(INDIRECT("'"&amp;$B30&amp;"'!$F$29"))+1)/--(FIND("VERIFICACIÓN: ", INDIRECT("'"&amp;$B30&amp;"'!$F$29:$F$45"))),0)))&lt;&gt;0,INDEX(INDIRECT("'"&amp;$B30&amp;"'!$A$29:$G$45"),MAX((IFERROR((ROW(INDIRECT("'"&amp;$B30&amp;"'!$F$29:$F$45"))-ROW(INDIRECT("'"&amp;$B30&amp;"'!$F$29"))+1)/--(IF(INDIRECT("'"&amp;$B30&amp;"'!$F$29:$F$45")&lt;&gt;"",1,0)),0))-(IFERROR((ROW(INDIRECT("'"&amp;$B30&amp;"'!$F$29:$F$45"))-ROW(INDIRECT("'"&amp;$B30&amp;"'!$F$29"))+1)/--(FIND("VERIFICACIÓN: ", INDIRECT("'"&amp;$B30&amp;"'!$F$29:$F$45"))),0))),1),0)&gt;IF(MAX(IFERROR((_xlfn._xlws.FILTER((ROW(INDIRECT("'"&amp;$B30&amp;"'!$E$29:$E$45"))-ROW(INDIRECT("'"&amp;$B30&amp;"'!$E$29"))+1)/--(IF(INDIRECT("'"&amp;$B30&amp;"'!$E$29:$E$45")&lt;&gt;"",1,0)), NOT(ISNUMBER(MATCH((ROW(INDIRECT("'"&amp;$B30&amp;"'!$E$29:$E$45"))-ROW(INDIRECT("'"&amp;$B30&amp;"'!$E$29"))+1)/--(IF(INDIRECT("'"&amp;$B30&amp;"'!$E$29:$E$45")&lt;&gt;"",1,0)), (ROW(INDIRECT("'"&amp;$B30&amp;"'!$E$29:$E$45"))-ROW(INDIRECT("'"&amp;$B30&amp;"'!$E$29"))+1)/--(FIND("VERIFICACIÓN: ", INDIRECT("'"&amp;$B30&amp;"'!$E$29:$E$45"))), 0))))),0))&lt;&gt;0,INDEX(INDIRECT("'"&amp;$B30&amp;"'!$A$29:$G$45"),MAX((IFERROR((ROW(INDIRECT("'"&amp;$B30&amp;"'!$E$29:$E$45"))-ROW(INDIRECT("'"&amp;$B30&amp;"'!$E$29"))+1)/--(IF(INDIRECT("'"&amp;$B30&amp;"'!$E$29:$E$45")&lt;&gt;"",1,0)),0))-(IFERROR((ROW(INDIRECT("'"&amp;$B30&amp;"'!$E$29:$E$45"))-ROW(INDIRECT("'"&amp;$B30&amp;"'!$E$29"))+1)/--(FIND("VERIFICACIÓN: ", INDIRECT("'"&amp;$B30&amp;"'!$E$29:$E$45"))),0))),1),0),IF(MAX((IFERROR((ROW(INDIRECT("'"&amp;$B30&amp;"'!$F$29:$F$45"))-ROW(INDIRECT("'"&amp;$B30&amp;"'!$F$29"))+1)/--(IF(INDIRECT("'"&amp;$B30&amp;"'!$F$29:$F$45")&lt;&gt;"",1,0)),0))-(IFERROR((ROW(INDIRECT("'"&amp;$B30&amp;"'!$F$29:$F$45"))-ROW(INDIRECT("'"&amp;$B30&amp;"'!$F$29"))+1)/--(FIND("VERIFICACIÓN: ", INDIRECT("'"&amp;$B30&amp;"'!$F$29:$F$45"))),0)))&lt;&gt;0,INDEX(INDIRECT("'"&amp;$B30&amp;"'!$A$29:$G$45"),MAX((IFERROR((ROW(INDIRECT("'"&amp;$B30&amp;"'!$F$29:$F$45"))-ROW(INDIRECT("'"&amp;$B30&amp;"'!$F$29"))+1)/--(IF(INDIRECT("'"&amp;$B30&amp;"'!$F$29:$F$45")&lt;&gt;"",1,0)),0))-(IFERROR((ROW(INDIRECT("'"&amp;$B30&amp;"'!$F$29:$F$45"))-ROW(INDIRECT("'"&amp;$B30&amp;"'!$F$29"))+1)/--(FIND("VERIFICACIÓN: ", INDIRECT("'"&amp;$B30&amp;"'!$F$29:$F$45"))),0))),6),"NO DISPONIBLE"),IF(MAX(IFERROR((_xlfn._xlws.FILTER((ROW(INDIRECT("'"&amp;$B30&amp;"'!$E$29:$E$45"))-ROW(INDIRECT("'"&amp;$B30&amp;"'!$E$29"))+1)/--(IF(INDIRECT("'"&amp;$B30&amp;"'!$E$29:$E$45")&lt;&gt;"",1,0)), NOT(ISNUMBER(MATCH((ROW(INDIRECT("'"&amp;$B30&amp;"'!$E$29:$E$45"))-ROW(INDIRECT("'"&amp;$B30&amp;"'!$E$29"))+1)/--(IF(INDIRECT("'"&amp;$B30&amp;"'!$E$29:$E$45")&lt;&gt;"",1,0)), (ROW(INDIRECT("'"&amp;$B30&amp;"'!$E$29:$E$45"))-ROW(INDIRECT("'"&amp;$B30&amp;"'!$E$29"))+1)/--(FIND("VERIFICACIÓN: ", INDIRECT("'"&amp;$B30&amp;"'!$E$29:$E$45"))), 0))))),0))&lt;&gt;0,INDEX(INDIRECT("'"&amp;$B30&amp;"'!$A$29:$G$45"),MAX((IFERROR((ROW(INDIRECT("'"&amp;$B30&amp;"'!$E$29:$E$45"))-ROW(INDIRECT("'"&amp;$B30&amp;"'!$E$29"))+1)/--(IF(INDIRECT("'"&amp;$B30&amp;"'!$E$29:$E$45")&lt;&gt;"",1,0)),0))-(IFERROR((ROW(INDIRECT("'"&amp;$B30&amp;"'!$E$29:$E$45"))-ROW(INDIRECT("'"&amp;$B30&amp;"'!$E$29"))+1)/--(FIND("VERIFICACIÓN: ", INDIRECT("'"&amp;$B30&amp;"'!$E$29:$E$45"))),0))),5),"NO DISPONIBLE"))</f>
        <v>LT-4937-23  / INMET</v>
      </c>
      <c r="U30" s="3" t="s">
        <v>69</v>
      </c>
      <c r="V30" s="5" cm="1">
        <f t="array" aca="1" ref="V30" ca="1">IF((IFERROR(VLOOKUP(IFERROR(LOOKUP(2,1/((INDIRECT("'"&amp;$B30&amp;"'!$F$29:$F$45"))&lt;&gt;""),(INDIRECT("'"&amp;$B30&amp;"'!$F$29:$F$45"))),"NO DISPONIBLE"),CHOOSE({1,2},(INDIRECT("'"&amp;$B30&amp;"'!$F$29:$F$45")),(INDIRECT("'"&amp;$B30&amp;"'!$A$29:$A$45"))),2,0),0))&gt;(IFERROR(VLOOKUP(IFERROR(LOOKUP(2,1/((INDIRECT("'"&amp;$B30&amp;"'!$E$29:$E$45"))&lt;&gt;""),(INDIRECT("'"&amp;$B30&amp;"'!$E$29:$E$45"))),"NO DISPONIBLE"),CHOOSE({1,2},(INDIRECT("'"&amp;$B30&amp;"'!$E$29:$E$45")),(INDIRECT("'"&amp;$B30&amp;"'!$A$29:$A$45"))),2,0),0)),(IFERROR(VLOOKUP(IFERROR(LOOKUP(2,1/((INDIRECT("'"&amp;$B30&amp;"'!$F$29:$F$45"))&lt;&gt;""),(INDIRECT("'"&amp;$B30&amp;"'!$F$29:$F$45"))),"NO DISPONIBLE"),CHOOSE({1,2},(INDIRECT("'"&amp;$B30&amp;"'!$F$29:$F$45")),(INDIRECT("'"&amp;$B30&amp;"'!$A$29:$A$45"))),2,0),0)),(IFERROR(VLOOKUP(IFERROR(LOOKUP(2,1/((INDIRECT("'"&amp;$B30&amp;"'!$E$29:$E$45"))&lt;&gt;""),(INDIRECT("'"&amp;$B30&amp;"'!$E$29:$E$45"))),"NO DISPONIBLE"),CHOOSE({1,2},(INDIRECT("'"&amp;$B30&amp;"'!$E$29:$E$45")),(INDIRECT("'"&amp;$B30&amp;"'!$A$29:$A$45"))),2,0),0)))</f>
        <v>45140</v>
      </c>
      <c r="W30" s="6" t="s">
        <v>70</v>
      </c>
      <c r="X30" s="7" t="str" cm="1">
        <f t="array" aca="1" ref="X30" ca="1">IF((IFERROR(VLOOKUP(IFERROR(LOOKUP(2,1/((INDIRECT("'"&amp;$B30&amp;"'!$E$29:$E$45"))&lt;&gt;""),(INDIRECT("'"&amp;$B30&amp;"'!$E$29:$E$45"))),"NO DISPONIBLE"),CHOOSE({1,2},(INDIRECT("'"&amp;$B30&amp;"'!$E$29:$E$45")),(INDIRECT("'"&amp;$B30&amp;"'!$A$29:$A$45"))),2,0),0))&gt;(IFERROR(VLOOKUP(IFERROR(LOOKUP(2,1/((INDIRECT("'"&amp;$B30&amp;"'!$F$29:$F$45"))&lt;&gt;""),(INDIRECT("'"&amp;$B30&amp;"'!$F$29:$F$45"))),"NO DISPONIBLE"),CHOOSE({1,2},(INDIRECT("'"&amp;$B30&amp;"'!$F$29:$F$45")),(INDIRECT("'"&amp;$B30&amp;"'!$A$29:$A$45"))),2,0),0)),IFERROR(LOOKUP(2,1/((INDIRECT("'"&amp;$B30&amp;"'!$E$29:$E$45"))&lt;&gt;""),(INDIRECT("'"&amp;$B30&amp;"'!$E$29:$E$45"))),"NO DISPONIBLE"),IFERROR(LOOKUP(2,1/((INDIRECT("'"&amp;$B30&amp;"'!$F$29:$F$45"))&lt;&gt;""),(INDIRECT("'"&amp;$B30&amp;"'!$F$29:$F$45"))),"NO DISPONIBLE"))</f>
        <v>LT-4937-23  / INMET</v>
      </c>
      <c r="Y30" s="3" t="s">
        <v>69</v>
      </c>
      <c r="Z30" s="5" cm="1">
        <f t="array" aca="1" ref="Z30" ca="1">IF((IFERROR(VLOOKUP(IFERROR(LOOKUP(2,1/((INDIRECT("'"&amp;$B30&amp;"'!$D$29:$D$45"))&lt;&gt;""),(INDIRECT("'"&amp;$B30&amp;"'!$D$29:$D$45"))),"NO DISPONIBLE"),CHOOSE({1,2},(INDIRECT("'"&amp;$B30&amp;"'!$D$29:$D$45")),(INDIRECT("'"&amp;$B30&amp;"'!$A$29:$A$45"))),2,0),0))&gt;(IFERROR(VLOOKUP(IFERROR(LOOKUP(2,1/((INDIRECT("'"&amp;$B30&amp;"'!$C$29:$C$45"))&lt;&gt;""),(INDIRECT("'"&amp;$B30&amp;"'!$C$29:$C$45"))),"NO DISPONIBLE"),CHOOSE({1,2},(INDIRECT("'"&amp;$B30&amp;"'!$C$29:$C$45")),(INDIRECT("'"&amp;$B30&amp;"'!$A$29:$A$45"))),2,0),0)),(IFERROR(VLOOKUP(IFERROR(LOOKUP(2,1/((INDIRECT("'"&amp;$B30&amp;"'!$D$29:$D$45"))&lt;&gt;""),(INDIRECT("'"&amp;$B30&amp;"'!$D$29:$D$45"))),"NO DISPONIBLE"),CHOOSE({1,2},(INDIRECT("'"&amp;$B30&amp;"'!$D$29:$D$45")),(INDIRECT("'"&amp;$B30&amp;"'!$A$29:$A$45"))),2,0),0)),(IFERROR(VLOOKUP(IFERROR(LOOKUP(2,1/((INDIRECT("'"&amp;$B30&amp;"'!$C$29:$C$45"))&lt;&gt;""),(INDIRECT("'"&amp;$B30&amp;"'!$C$29:$C$45"))),"NO DISPONIBLE"),CHOOSE({1,2},(INDIRECT("'"&amp;$B30&amp;"'!$C$29:$C$45")),(INDIRECT("'"&amp;$B30&amp;"'!$A$29:$A$45"))),2,0),0)))</f>
        <v>45140</v>
      </c>
      <c r="AA30" s="6" t="s">
        <v>70</v>
      </c>
      <c r="AB30" s="7" t="str" cm="1">
        <f t="array" aca="1" ref="AB30" ca="1">IF((IFERROR(VLOOKUP(IFERROR(LOOKUP(2,1/((INDIRECT("'"&amp;$B30&amp;"'!$C$29:$C$45"))&lt;&gt;""),(INDIRECT("'"&amp;$B30&amp;"'!$C$29:$C$45"))),"NO DISPONIBLE"),CHOOSE({1,2},(INDIRECT("'"&amp;$B30&amp;"'!$C$29:$C$45")),(INDIRECT("'"&amp;$B30&amp;"'!$A$29:$A$45"))),2,0),0))&gt;(IFERROR(VLOOKUP(IFERROR(LOOKUP(2,1/((INDIRECT("'"&amp;$B30&amp;"'!$D$29:$D$45"))&lt;&gt;""),(INDIRECT("'"&amp;$B30&amp;"'!$D$29:$D$45"))),"NO DISPONIBLE"),CHOOSE({1,2},(INDIRECT("'"&amp;$B30&amp;"'!$D$29:$D$45")),(INDIRECT("'"&amp;$B30&amp;"'!$A$29:$A$45"))),2,0),0)),IFERROR(LOOKUP(2,1/((INDIRECT("'"&amp;$B30&amp;"'!$C$29:$C$45"))&lt;&gt;""),(INDIRECT("'"&amp;$B30&amp;"'!$C$29:$C$45"))),"NO DISPONIBLE"),IFERROR(LOOKUP(2,1/((INDIRECT("'"&amp;$B30&amp;"'!$D$29:$D$45"))&lt;&gt;""),(INDIRECT("'"&amp;$B30&amp;"'!$D$29:$D$45"))),"NO DISPONIBLE"))</f>
        <v>LT-4937-23  / INMET</v>
      </c>
      <c r="AC30" s="6" t="s">
        <v>82</v>
      </c>
      <c r="AD30" s="8"/>
    </row>
    <row r="31" spans="1:30" x14ac:dyDescent="0.3">
      <c r="A31" s="2" t="s">
        <v>46</v>
      </c>
      <c r="B31" s="2" t="str" cm="1">
        <f t="array" aca="1" ref="B31" ca="1">INDIRECT("'"&amp;$B31&amp;"'!$A$6")</f>
        <v>TERMOHIGRÓMETRO</v>
      </c>
      <c r="C31" s="3" t="str" cm="1">
        <f t="array" aca="1" ref="C31" ca="1">INDIRECT("'"&amp;$B31&amp;"'!$G$14")</f>
        <v>DELTATRACK</v>
      </c>
      <c r="D31" s="3" cm="1">
        <f t="array" aca="1" ref="D31" ca="1">INDIRECT("'"&amp;$B31&amp;"'!$G$15")</f>
        <v>13309</v>
      </c>
      <c r="E31" s="24" cm="1">
        <f t="array" aca="1" ref="E31" ca="1">INDIRECT("'"&amp;$B31&amp;"'!$G$16")</f>
        <v>20105958</v>
      </c>
      <c r="F31" s="3" t="s">
        <v>66</v>
      </c>
      <c r="G31" s="3" t="s">
        <v>67</v>
      </c>
      <c r="H31" s="3" t="str" cm="1">
        <f t="array" aca="1" ref="H31" ca="1">INDIRECT("'"&amp;$B31&amp;"'!$G$11")</f>
        <v>TEMPERATURA</v>
      </c>
      <c r="I31" s="3" t="str" cm="1">
        <f t="array" aca="1" ref="I31" ca="1">INDIRECT("'"&amp;$B31&amp;"'!$C$11")</f>
        <v>ALTA</v>
      </c>
      <c r="J31" s="3" t="str" cm="1">
        <f t="array" aca="1" ref="J31" ca="1">INDIRECT("'"&amp;$B31&amp;"'!$G$21")</f>
        <v>99°C</v>
      </c>
      <c r="K31" s="3" t="str" cm="1">
        <f t="array" aca="1" ref="K31" ca="1">INDIRECT("'"&amp;$B31&amp;"'!$G$22")</f>
        <v>N/A</v>
      </c>
      <c r="L31" s="3" t="str" cm="1">
        <f t="array" aca="1" ref="L31" ca="1">INDIRECT("'"&amp;$B31&amp;"'!$G$23")</f>
        <v>0,1°C</v>
      </c>
      <c r="M31" s="4"/>
      <c r="N31" s="3" t="str" cm="1">
        <f t="array" aca="1" ref="N31" ca="1">INDIRECT("'"&amp;$B31&amp;"'!$G$22")</f>
        <v>N/A</v>
      </c>
      <c r="O31" s="3"/>
      <c r="P31" s="7" t="str" cm="1">
        <f t="array" aca="1" ref="P31" ca="1">IFERROR(LOOKUP(2,1/((INDIRECT("'"&amp;$B31&amp;"'!$G$29:$G$45"))&lt;&gt;""),(INDIRECT("'"&amp;$B31&amp;"'!$G$29:$G$45"))),"NO DISPONIBLE")</f>
        <v>FUNCIONAL</v>
      </c>
      <c r="Q31" s="3" t="s">
        <v>69</v>
      </c>
      <c r="R31" s="5" cm="1">
        <f t="array" aca="1" ref="R31" ca="1">IF(IF(MAX((IFERROR((ROW(INDIRECT("'"&amp;$B31&amp;"'!$F$29:$F$45"))-ROW(INDIRECT("'"&amp;$B31&amp;"'!$F$29"))+1)/--(IF(INDIRECT("'"&amp;$B31&amp;"'!$F$29:$F$45")&lt;&gt;"",1,0)),0))-(IFERROR((ROW(INDIRECT("'"&amp;$B31&amp;"'!$F$29:$F$45"))-ROW(INDIRECT("'"&amp;$B31&amp;"'!$F$29"))+1)/--(FIND("VERIFICACIÓN: ", INDIRECT("'"&amp;$B31&amp;"'!$F$29:$F$45"))),0)))&lt;&gt;0,INDEX(INDIRECT("'"&amp;$B31&amp;"'!$A$29:$G$45"),MAX((IFERROR((ROW(INDIRECT("'"&amp;$B31&amp;"'!$F$29:$F$45"))-ROW(INDIRECT("'"&amp;$B31&amp;"'!$F$29"))+1)/--(IF(INDIRECT("'"&amp;$B31&amp;"'!$F$29:$F$45")&lt;&gt;"",1,0)),0))-(IFERROR((ROW(INDIRECT("'"&amp;$B31&amp;"'!$F$29:$F$45"))-ROW(INDIRECT("'"&amp;$B31&amp;"'!$F$29"))+1)/--(FIND("VERIFICACIÓN: ", INDIRECT("'"&amp;$B31&amp;"'!$F$29:$F$45"))),0))),1),0)&gt;IF(MAX(IFERROR((_xlfn._xlws.FILTER((ROW(INDIRECT("'"&amp;$B31&amp;"'!$E$29:$E$45"))-ROW(INDIRECT("'"&amp;$B31&amp;"'!$E$29"))+1)/--(IF(INDIRECT("'"&amp;$B31&amp;"'!$E$29:$E$45")&lt;&gt;"",1,0)), NOT(ISNUMBER(MATCH((ROW(INDIRECT("'"&amp;$B31&amp;"'!$E$29:$E$45"))-ROW(INDIRECT("'"&amp;$B31&amp;"'!$E$29"))+1)/--(IF(INDIRECT("'"&amp;$B31&amp;"'!$E$29:$E$45")&lt;&gt;"",1,0)), (ROW(INDIRECT("'"&amp;$B31&amp;"'!$E$29:$E$45"))-ROW(INDIRECT("'"&amp;$B31&amp;"'!$E$29"))+1)/--(FIND("VERIFICACIÓN: ", INDIRECT("'"&amp;$B31&amp;"'!$E$29:$E$45"))), 0))))),0))&lt;&gt;0,INDEX(INDIRECT("'"&amp;$B31&amp;"'!$A$29:$G$45"),MAX((IFERROR((ROW(INDIRECT("'"&amp;$B31&amp;"'!$E$29:$E$45"))-ROW(INDIRECT("'"&amp;$B31&amp;"'!$E$29"))+1)/--(IF(INDIRECT("'"&amp;$B31&amp;"'!$E$29:$E$45")&lt;&gt;"",1,0)),0))-(IFERROR((ROW(INDIRECT("'"&amp;$B31&amp;"'!$E$29:$E$45"))-ROW(INDIRECT("'"&amp;$B31&amp;"'!$E$29"))+1)/--(FIND("VERIFICACIÓN: ", INDIRECT("'"&amp;$B31&amp;"'!$E$29:$E$45"))),0))),1),0),IF(MAX((IFERROR((ROW(INDIRECT("'"&amp;$B31&amp;"'!$F$29:$F$45"))-ROW(INDIRECT("'"&amp;$B31&amp;"'!$F$29"))+1)/--(IF(INDIRECT("'"&amp;$B31&amp;"'!$F$29:$F$45")&lt;&gt;"",1,0)),0))-(IFERROR((ROW(INDIRECT("'"&amp;$B31&amp;"'!$F$29:$F$45"))-ROW(INDIRECT("'"&amp;$B31&amp;"'!$F$29"))+1)/--(FIND("VERIFICACIÓN: ", INDIRECT("'"&amp;$B31&amp;"'!$F$29:$F$45"))),0)))&lt;&gt;0,INDEX(INDIRECT("'"&amp;$B31&amp;"'!$A$29:$G$45"),MAX((IFERROR((ROW(INDIRECT("'"&amp;$B31&amp;"'!$F$29:$F$45"))-ROW(INDIRECT("'"&amp;$B31&amp;"'!$F$29"))+1)/--(IF(INDIRECT("'"&amp;$B31&amp;"'!$F$29:$F$45")&lt;&gt;"",1,0)),0))-(IFERROR((ROW(INDIRECT("'"&amp;$B31&amp;"'!$F$29:$F$45"))-ROW(INDIRECT("'"&amp;$B31&amp;"'!$F$29"))+1)/--(FIND("VERIFICACIÓN: ", INDIRECT("'"&amp;$B31&amp;"'!$F$29:$F$45"))),0))),1),0),IF(MAX(IFERROR((_xlfn._xlws.FILTER((ROW(INDIRECT("'"&amp;$B31&amp;"'!$E$29:$E$45"))-ROW(INDIRECT("'"&amp;$B31&amp;"'!$E$29"))+1)/--(IF(INDIRECT("'"&amp;$B31&amp;"'!$E$29:$E$45")&lt;&gt;"",1,0)), NOT(ISNUMBER(MATCH((ROW(INDIRECT("'"&amp;$B31&amp;"'!$E$29:$E$45"))-ROW(INDIRECT("'"&amp;$B31&amp;"'!$E$29"))+1)/--(IF(INDIRECT("'"&amp;$B31&amp;"'!$E$29:$E$45")&lt;&gt;"",1,0)), (ROW(INDIRECT("'"&amp;$B31&amp;"'!$E$29:$E$45"))-ROW(INDIRECT("'"&amp;$B31&amp;"'!$E$29"))+1)/--(FIND("VERIFICACIÓN: ", INDIRECT("'"&amp;$B31&amp;"'!$E$29:$E$45"))), 0))))),0))&lt;&gt;0,INDEX(INDIRECT("'"&amp;$B31&amp;"'!$A$29:$G$45"),MAX((IFERROR((ROW(INDIRECT("'"&amp;$B31&amp;"'!$E$29:$E$45"))-ROW(INDIRECT("'"&amp;$B31&amp;"'!$E$29"))+1)/--(IF(INDIRECT("'"&amp;$B31&amp;"'!$E$29:$E$45")&lt;&gt;"",1,0)),0))-(IFERROR((ROW(INDIRECT("'"&amp;$B31&amp;"'!$E$29:$E$45"))-ROW(INDIRECT("'"&amp;$B31&amp;"'!$E$29"))+1)/--(FIND("VERIFICACIÓN: ", INDIRECT("'"&amp;$B31&amp;"'!$E$29:$E$45"))),0))),1),0))</f>
        <v>44916</v>
      </c>
      <c r="S31" s="6" t="s">
        <v>70</v>
      </c>
      <c r="T31" s="7" t="str" cm="1">
        <f t="array" aca="1" ref="T31" ca="1">IF(IF(MAX((IFERROR((ROW(INDIRECT("'"&amp;$B31&amp;"'!$F$29:$F$45"))-ROW(INDIRECT("'"&amp;$B31&amp;"'!$F$29"))+1)/--(IF(INDIRECT("'"&amp;$B31&amp;"'!$F$29:$F$45")&lt;&gt;"",1,0)),0))-(IFERROR((ROW(INDIRECT("'"&amp;$B31&amp;"'!$F$29:$F$45"))-ROW(INDIRECT("'"&amp;$B31&amp;"'!$F$29"))+1)/--(FIND("VERIFICACIÓN: ", INDIRECT("'"&amp;$B31&amp;"'!$F$29:$F$45"))),0)))&lt;&gt;0,INDEX(INDIRECT("'"&amp;$B31&amp;"'!$A$29:$G$45"),MAX((IFERROR((ROW(INDIRECT("'"&amp;$B31&amp;"'!$F$29:$F$45"))-ROW(INDIRECT("'"&amp;$B31&amp;"'!$F$29"))+1)/--(IF(INDIRECT("'"&amp;$B31&amp;"'!$F$29:$F$45")&lt;&gt;"",1,0)),0))-(IFERROR((ROW(INDIRECT("'"&amp;$B31&amp;"'!$F$29:$F$45"))-ROW(INDIRECT("'"&amp;$B31&amp;"'!$F$29"))+1)/--(FIND("VERIFICACIÓN: ", INDIRECT("'"&amp;$B31&amp;"'!$F$29:$F$45"))),0))),1),0)&gt;IF(MAX(IFERROR((_xlfn._xlws.FILTER((ROW(INDIRECT("'"&amp;$B31&amp;"'!$E$29:$E$45"))-ROW(INDIRECT("'"&amp;$B31&amp;"'!$E$29"))+1)/--(IF(INDIRECT("'"&amp;$B31&amp;"'!$E$29:$E$45")&lt;&gt;"",1,0)), NOT(ISNUMBER(MATCH((ROW(INDIRECT("'"&amp;$B31&amp;"'!$E$29:$E$45"))-ROW(INDIRECT("'"&amp;$B31&amp;"'!$E$29"))+1)/--(IF(INDIRECT("'"&amp;$B31&amp;"'!$E$29:$E$45")&lt;&gt;"",1,0)), (ROW(INDIRECT("'"&amp;$B31&amp;"'!$E$29:$E$45"))-ROW(INDIRECT("'"&amp;$B31&amp;"'!$E$29"))+1)/--(FIND("VERIFICACIÓN: ", INDIRECT("'"&amp;$B31&amp;"'!$E$29:$E$45"))), 0))))),0))&lt;&gt;0,INDEX(INDIRECT("'"&amp;$B31&amp;"'!$A$29:$G$45"),MAX((IFERROR((ROW(INDIRECT("'"&amp;$B31&amp;"'!$E$29:$E$45"))-ROW(INDIRECT("'"&amp;$B31&amp;"'!$E$29"))+1)/--(IF(INDIRECT("'"&amp;$B31&amp;"'!$E$29:$E$45")&lt;&gt;"",1,0)),0))-(IFERROR((ROW(INDIRECT("'"&amp;$B31&amp;"'!$E$29:$E$45"))-ROW(INDIRECT("'"&amp;$B31&amp;"'!$E$29"))+1)/--(FIND("VERIFICACIÓN: ", INDIRECT("'"&amp;$B31&amp;"'!$E$29:$E$45"))),0))),1),0),IF(MAX((IFERROR((ROW(INDIRECT("'"&amp;$B31&amp;"'!$F$29:$F$45"))-ROW(INDIRECT("'"&amp;$B31&amp;"'!$F$29"))+1)/--(IF(INDIRECT("'"&amp;$B31&amp;"'!$F$29:$F$45")&lt;&gt;"",1,0)),0))-(IFERROR((ROW(INDIRECT("'"&amp;$B31&amp;"'!$F$29:$F$45"))-ROW(INDIRECT("'"&amp;$B31&amp;"'!$F$29"))+1)/--(FIND("VERIFICACIÓN: ", INDIRECT("'"&amp;$B31&amp;"'!$F$29:$F$45"))),0)))&lt;&gt;0,INDEX(INDIRECT("'"&amp;$B31&amp;"'!$A$29:$G$45"),MAX((IFERROR((ROW(INDIRECT("'"&amp;$B31&amp;"'!$F$29:$F$45"))-ROW(INDIRECT("'"&amp;$B31&amp;"'!$F$29"))+1)/--(IF(INDIRECT("'"&amp;$B31&amp;"'!$F$29:$F$45")&lt;&gt;"",1,0)),0))-(IFERROR((ROW(INDIRECT("'"&amp;$B31&amp;"'!$F$29:$F$45"))-ROW(INDIRECT("'"&amp;$B31&amp;"'!$F$29"))+1)/--(FIND("VERIFICACIÓN: ", INDIRECT("'"&amp;$B31&amp;"'!$F$29:$F$45"))),0))),6),"NO DISPONIBLE"),IF(MAX(IFERROR((_xlfn._xlws.FILTER((ROW(INDIRECT("'"&amp;$B31&amp;"'!$E$29:$E$45"))-ROW(INDIRECT("'"&amp;$B31&amp;"'!$E$29"))+1)/--(IF(INDIRECT("'"&amp;$B31&amp;"'!$E$29:$E$45")&lt;&gt;"",1,0)), NOT(ISNUMBER(MATCH((ROW(INDIRECT("'"&amp;$B31&amp;"'!$E$29:$E$45"))-ROW(INDIRECT("'"&amp;$B31&amp;"'!$E$29"))+1)/--(IF(INDIRECT("'"&amp;$B31&amp;"'!$E$29:$E$45")&lt;&gt;"",1,0)), (ROW(INDIRECT("'"&amp;$B31&amp;"'!$E$29:$E$45"))-ROW(INDIRECT("'"&amp;$B31&amp;"'!$E$29"))+1)/--(FIND("VERIFICACIÓN: ", INDIRECT("'"&amp;$B31&amp;"'!$E$29:$E$45"))), 0))))),0))&lt;&gt;0,INDEX(INDIRECT("'"&amp;$B31&amp;"'!$A$29:$G$45"),MAX((IFERROR((ROW(INDIRECT("'"&amp;$B31&amp;"'!$E$29:$E$45"))-ROW(INDIRECT("'"&amp;$B31&amp;"'!$E$29"))+1)/--(IF(INDIRECT("'"&amp;$B31&amp;"'!$E$29:$E$45")&lt;&gt;"",1,0)),0))-(IFERROR((ROW(INDIRECT("'"&amp;$B31&amp;"'!$E$29:$E$45"))-ROW(INDIRECT("'"&amp;$B31&amp;"'!$E$29"))+1)/--(FIND("VERIFICACIÓN: ", INDIRECT("'"&amp;$B31&amp;"'!$E$29:$E$45"))),0))),5),"NO DISPONIBLE"))</f>
        <v>LTA2022114 / COLMETRO</v>
      </c>
      <c r="U31" s="3" t="s">
        <v>69</v>
      </c>
      <c r="V31" s="5" cm="1">
        <f t="array" aca="1" ref="V31" ca="1">IF((IFERROR(VLOOKUP(IFERROR(LOOKUP(2,1/((INDIRECT("'"&amp;$B31&amp;"'!$F$29:$F$45"))&lt;&gt;""),(INDIRECT("'"&amp;$B31&amp;"'!$F$29:$F$45"))),"NO DISPONIBLE"),CHOOSE({1,2},(INDIRECT("'"&amp;$B31&amp;"'!$F$29:$F$45")),(INDIRECT("'"&amp;$B31&amp;"'!$A$29:$A$45"))),2,0),0))&gt;(IFERROR(VLOOKUP(IFERROR(LOOKUP(2,1/((INDIRECT("'"&amp;$B31&amp;"'!$E$29:$E$45"))&lt;&gt;""),(INDIRECT("'"&amp;$B31&amp;"'!$E$29:$E$45"))),"NO DISPONIBLE"),CHOOSE({1,2},(INDIRECT("'"&amp;$B31&amp;"'!$E$29:$E$45")),(INDIRECT("'"&amp;$B31&amp;"'!$A$29:$A$45"))),2,0),0)),(IFERROR(VLOOKUP(IFERROR(LOOKUP(2,1/((INDIRECT("'"&amp;$B31&amp;"'!$F$29:$F$45"))&lt;&gt;""),(INDIRECT("'"&amp;$B31&amp;"'!$F$29:$F$45"))),"NO DISPONIBLE"),CHOOSE({1,2},(INDIRECT("'"&amp;$B31&amp;"'!$F$29:$F$45")),(INDIRECT("'"&amp;$B31&amp;"'!$A$29:$A$45"))),2,0),0)),(IFERROR(VLOOKUP(IFERROR(LOOKUP(2,1/((INDIRECT("'"&amp;$B31&amp;"'!$E$29:$E$45"))&lt;&gt;""),(INDIRECT("'"&amp;$B31&amp;"'!$E$29:$E$45"))),"NO DISPONIBLE"),CHOOSE({1,2},(INDIRECT("'"&amp;$B31&amp;"'!$E$29:$E$45")),(INDIRECT("'"&amp;$B31&amp;"'!$A$29:$A$45"))),2,0),0)))</f>
        <v>44916</v>
      </c>
      <c r="W31" s="6" t="s">
        <v>70</v>
      </c>
      <c r="X31" s="7" t="str" cm="1">
        <f t="array" aca="1" ref="X31" ca="1">IF((IFERROR(VLOOKUP(IFERROR(LOOKUP(2,1/((INDIRECT("'"&amp;$B31&amp;"'!$E$29:$E$45"))&lt;&gt;""),(INDIRECT("'"&amp;$B31&amp;"'!$E$29:$E$45"))),"NO DISPONIBLE"),CHOOSE({1,2},(INDIRECT("'"&amp;$B31&amp;"'!$E$29:$E$45")),(INDIRECT("'"&amp;$B31&amp;"'!$A$29:$A$45"))),2,0),0))&gt;(IFERROR(VLOOKUP(IFERROR(LOOKUP(2,1/((INDIRECT("'"&amp;$B31&amp;"'!$F$29:$F$45"))&lt;&gt;""),(INDIRECT("'"&amp;$B31&amp;"'!$F$29:$F$45"))),"NO DISPONIBLE"),CHOOSE({1,2},(INDIRECT("'"&amp;$B31&amp;"'!$F$29:$F$45")),(INDIRECT("'"&amp;$B31&amp;"'!$A$29:$A$45"))),2,0),0)),IFERROR(LOOKUP(2,1/((INDIRECT("'"&amp;$B31&amp;"'!$E$29:$E$45"))&lt;&gt;""),(INDIRECT("'"&amp;$B31&amp;"'!$E$29:$E$45"))),"NO DISPONIBLE"),IFERROR(LOOKUP(2,1/((INDIRECT("'"&amp;$B31&amp;"'!$F$29:$F$45"))&lt;&gt;""),(INDIRECT("'"&amp;$B31&amp;"'!$F$29:$F$45"))),"NO DISPONIBLE"))</f>
        <v>LTA2022114 / COLMETRO</v>
      </c>
      <c r="Y31" s="3" t="s">
        <v>69</v>
      </c>
      <c r="Z31" s="5" cm="1">
        <f t="array" aca="1" ref="Z31" ca="1">IF((IFERROR(VLOOKUP(IFERROR(LOOKUP(2,1/((INDIRECT("'"&amp;$B31&amp;"'!$D$29:$D$45"))&lt;&gt;""),(INDIRECT("'"&amp;$B31&amp;"'!$D$29:$D$45"))),"NO DISPONIBLE"),CHOOSE({1,2},(INDIRECT("'"&amp;$B31&amp;"'!$D$29:$D$45")),(INDIRECT("'"&amp;$B31&amp;"'!$A$29:$A$45"))),2,0),0))&gt;(IFERROR(VLOOKUP(IFERROR(LOOKUP(2,1/((INDIRECT("'"&amp;$B31&amp;"'!$C$29:$C$45"))&lt;&gt;""),(INDIRECT("'"&amp;$B31&amp;"'!$C$29:$C$45"))),"NO DISPONIBLE"),CHOOSE({1,2},(INDIRECT("'"&amp;$B31&amp;"'!$C$29:$C$45")),(INDIRECT("'"&amp;$B31&amp;"'!$A$29:$A$45"))),2,0),0)),(IFERROR(VLOOKUP(IFERROR(LOOKUP(2,1/((INDIRECT("'"&amp;$B31&amp;"'!$D$29:$D$45"))&lt;&gt;""),(INDIRECT("'"&amp;$B31&amp;"'!$D$29:$D$45"))),"NO DISPONIBLE"),CHOOSE({1,2},(INDIRECT("'"&amp;$B31&amp;"'!$D$29:$D$45")),(INDIRECT("'"&amp;$B31&amp;"'!$A$29:$A$45"))),2,0),0)),(IFERROR(VLOOKUP(IFERROR(LOOKUP(2,1/((INDIRECT("'"&amp;$B31&amp;"'!$C$29:$C$45"))&lt;&gt;""),(INDIRECT("'"&amp;$B31&amp;"'!$C$29:$C$45"))),"NO DISPONIBLE"),CHOOSE({1,2},(INDIRECT("'"&amp;$B31&amp;"'!$C$29:$C$45")),(INDIRECT("'"&amp;$B31&amp;"'!$A$29:$A$45"))),2,0),0)))</f>
        <v>44916</v>
      </c>
      <c r="AA31" s="6" t="s">
        <v>70</v>
      </c>
      <c r="AB31" s="7" t="str" cm="1">
        <f t="array" aca="1" ref="AB31" ca="1">IF((IFERROR(VLOOKUP(IFERROR(LOOKUP(2,1/((INDIRECT("'"&amp;$B31&amp;"'!$C$29:$C$45"))&lt;&gt;""),(INDIRECT("'"&amp;$B31&amp;"'!$C$29:$C$45"))),"NO DISPONIBLE"),CHOOSE({1,2},(INDIRECT("'"&amp;$B31&amp;"'!$C$29:$C$45")),(INDIRECT("'"&amp;$B31&amp;"'!$A$29:$A$45"))),2,0),0))&gt;(IFERROR(VLOOKUP(IFERROR(LOOKUP(2,1/((INDIRECT("'"&amp;$B31&amp;"'!$D$29:$D$45"))&lt;&gt;""),(INDIRECT("'"&amp;$B31&amp;"'!$D$29:$D$45"))),"NO DISPONIBLE"),CHOOSE({1,2},(INDIRECT("'"&amp;$B31&amp;"'!$D$29:$D$45")),(INDIRECT("'"&amp;$B31&amp;"'!$A$29:$A$45"))),2,0),0)),IFERROR(LOOKUP(2,1/((INDIRECT("'"&amp;$B31&amp;"'!$C$29:$C$45"))&lt;&gt;""),(INDIRECT("'"&amp;$B31&amp;"'!$C$29:$C$45"))),"NO DISPONIBLE"),IFERROR(LOOKUP(2,1/((INDIRECT("'"&amp;$B31&amp;"'!$D$29:$D$45"))&lt;&gt;""),(INDIRECT("'"&amp;$B31&amp;"'!$D$29:$D$45"))),"NO DISPONIBLE"))</f>
        <v>NUEVO</v>
      </c>
      <c r="AC31" s="6" t="s">
        <v>82</v>
      </c>
      <c r="AD31" s="8"/>
    </row>
    <row r="32" spans="1:30" x14ac:dyDescent="0.3">
      <c r="A32" s="2" t="s">
        <v>47</v>
      </c>
      <c r="B32" s="2" t="str" cm="1">
        <f t="array" aca="1" ref="B32" ca="1">INDIRECT("'"&amp;$B32&amp;"'!$A$6")</f>
        <v>DECADA RESISTIVA</v>
      </c>
      <c r="C32" s="3" t="str" cm="1">
        <f t="array" aca="1" ref="C32" ca="1">INDIRECT("'"&amp;$B32&amp;"'!$G$14")</f>
        <v>EXTECH</v>
      </c>
      <c r="D32" s="3" cm="1">
        <f t="array" aca="1" ref="D32" ca="1">INDIRECT("'"&amp;$B32&amp;"'!$G$15")</f>
        <v>380400</v>
      </c>
      <c r="E32" s="24" t="str" cm="1">
        <f t="array" aca="1" ref="E32" ca="1">INDIRECT("'"&amp;$B32&amp;"'!$G$16")</f>
        <v>H460933</v>
      </c>
      <c r="F32" s="3" t="s">
        <v>65</v>
      </c>
      <c r="G32" s="3" t="s">
        <v>67</v>
      </c>
      <c r="H32" s="9" t="str" cm="1">
        <f t="array" aca="1" ref="H32" ca="1">INDIRECT("'"&amp;$B32&amp;"'!$G$11")</f>
        <v xml:space="preserve">ELÉCTRICAS </v>
      </c>
      <c r="I32" s="3" t="str" cm="1">
        <f t="array" aca="1" ref="I32" ca="1">INDIRECT("'"&amp;$B32&amp;"'!$C$11")</f>
        <v>ALTA</v>
      </c>
      <c r="J32" s="3" t="str" cm="1">
        <f t="array" aca="1" ref="J32" ca="1">INDIRECT("'"&amp;$B32&amp;"'!$G$21")</f>
        <v>11111110 ohm</v>
      </c>
      <c r="K32" s="3" t="str" cm="1">
        <f t="array" aca="1" ref="K32" ca="1">INDIRECT("'"&amp;$B32&amp;"'!$G$22")</f>
        <v>0,3 ohm</v>
      </c>
      <c r="L32" s="3" t="str" cm="1">
        <f t="array" aca="1" ref="L32" ca="1">INDIRECT("'"&amp;$B32&amp;"'!$G$23")</f>
        <v>N/A</v>
      </c>
      <c r="M32" s="4"/>
      <c r="N32" s="3" t="str" cm="1">
        <f t="array" aca="1" ref="N32" ca="1">INDIRECT("'"&amp;$B32&amp;"'!$G$22")</f>
        <v>0,3 ohm</v>
      </c>
      <c r="O32" s="3"/>
      <c r="P32" s="7" t="str" cm="1">
        <f t="array" aca="1" ref="P32" ca="1">IFERROR(LOOKUP(2,1/((INDIRECT("'"&amp;$B32&amp;"'!$G$29:$G$45"))&lt;&gt;""),(INDIRECT("'"&amp;$B32&amp;"'!$G$29:$G$45"))),"NO DISPONIBLE")</f>
        <v>FUNCIONAL</v>
      </c>
      <c r="Q32" s="3" t="s">
        <v>69</v>
      </c>
      <c r="R32" s="5" cm="1">
        <f t="array" aca="1" ref="R32" ca="1">IF(IF(MAX((IFERROR((ROW(INDIRECT("'"&amp;$B32&amp;"'!$F$29:$F$45"))-ROW(INDIRECT("'"&amp;$B32&amp;"'!$F$29"))+1)/--(IF(INDIRECT("'"&amp;$B32&amp;"'!$F$29:$F$45")&lt;&gt;"",1,0)),0))-(IFERROR((ROW(INDIRECT("'"&amp;$B32&amp;"'!$F$29:$F$45"))-ROW(INDIRECT("'"&amp;$B32&amp;"'!$F$29"))+1)/--(FIND("VERIFICACIÓN: ", INDIRECT("'"&amp;$B32&amp;"'!$F$29:$F$45"))),0)))&lt;&gt;0,INDEX(INDIRECT("'"&amp;$B32&amp;"'!$A$29:$G$45"),MAX((IFERROR((ROW(INDIRECT("'"&amp;$B32&amp;"'!$F$29:$F$45"))-ROW(INDIRECT("'"&amp;$B32&amp;"'!$F$29"))+1)/--(IF(INDIRECT("'"&amp;$B32&amp;"'!$F$29:$F$45")&lt;&gt;"",1,0)),0))-(IFERROR((ROW(INDIRECT("'"&amp;$B32&amp;"'!$F$29:$F$45"))-ROW(INDIRECT("'"&amp;$B32&amp;"'!$F$29"))+1)/--(FIND("VERIFICACIÓN: ", INDIRECT("'"&amp;$B32&amp;"'!$F$29:$F$45"))),0))),1),0)&gt;IF(MAX(IFERROR((_xlfn._xlws.FILTER((ROW(INDIRECT("'"&amp;$B32&amp;"'!$E$29:$E$45"))-ROW(INDIRECT("'"&amp;$B32&amp;"'!$E$29"))+1)/--(IF(INDIRECT("'"&amp;$B32&amp;"'!$E$29:$E$45")&lt;&gt;"",1,0)), NOT(ISNUMBER(MATCH((ROW(INDIRECT("'"&amp;$B32&amp;"'!$E$29:$E$45"))-ROW(INDIRECT("'"&amp;$B32&amp;"'!$E$29"))+1)/--(IF(INDIRECT("'"&amp;$B32&amp;"'!$E$29:$E$45")&lt;&gt;"",1,0)), (ROW(INDIRECT("'"&amp;$B32&amp;"'!$E$29:$E$45"))-ROW(INDIRECT("'"&amp;$B32&amp;"'!$E$29"))+1)/--(FIND("VERIFICACIÓN: ", INDIRECT("'"&amp;$B32&amp;"'!$E$29:$E$45"))), 0))))),0))&lt;&gt;0,INDEX(INDIRECT("'"&amp;$B32&amp;"'!$A$29:$G$45"),MAX((IFERROR((ROW(INDIRECT("'"&amp;$B32&amp;"'!$E$29:$E$45"))-ROW(INDIRECT("'"&amp;$B32&amp;"'!$E$29"))+1)/--(IF(INDIRECT("'"&amp;$B32&amp;"'!$E$29:$E$45")&lt;&gt;"",1,0)),0))-(IFERROR((ROW(INDIRECT("'"&amp;$B32&amp;"'!$E$29:$E$45"))-ROW(INDIRECT("'"&amp;$B32&amp;"'!$E$29"))+1)/--(FIND("VERIFICACIÓN: ", INDIRECT("'"&amp;$B32&amp;"'!$E$29:$E$45"))),0))),1),0),IF(MAX((IFERROR((ROW(INDIRECT("'"&amp;$B32&amp;"'!$F$29:$F$45"))-ROW(INDIRECT("'"&amp;$B32&amp;"'!$F$29"))+1)/--(IF(INDIRECT("'"&amp;$B32&amp;"'!$F$29:$F$45")&lt;&gt;"",1,0)),0))-(IFERROR((ROW(INDIRECT("'"&amp;$B32&amp;"'!$F$29:$F$45"))-ROW(INDIRECT("'"&amp;$B32&amp;"'!$F$29"))+1)/--(FIND("VERIFICACIÓN: ", INDIRECT("'"&amp;$B32&amp;"'!$F$29:$F$45"))),0)))&lt;&gt;0,INDEX(INDIRECT("'"&amp;$B32&amp;"'!$A$29:$G$45"),MAX((IFERROR((ROW(INDIRECT("'"&amp;$B32&amp;"'!$F$29:$F$45"))-ROW(INDIRECT("'"&amp;$B32&amp;"'!$F$29"))+1)/--(IF(INDIRECT("'"&amp;$B32&amp;"'!$F$29:$F$45")&lt;&gt;"",1,0)),0))-(IFERROR((ROW(INDIRECT("'"&amp;$B32&amp;"'!$F$29:$F$45"))-ROW(INDIRECT("'"&amp;$B32&amp;"'!$F$29"))+1)/--(FIND("VERIFICACIÓN: ", INDIRECT("'"&amp;$B32&amp;"'!$F$29:$F$45"))),0))),1),0),IF(MAX(IFERROR((_xlfn._xlws.FILTER((ROW(INDIRECT("'"&amp;$B32&amp;"'!$E$29:$E$45"))-ROW(INDIRECT("'"&amp;$B32&amp;"'!$E$29"))+1)/--(IF(INDIRECT("'"&amp;$B32&amp;"'!$E$29:$E$45")&lt;&gt;"",1,0)), NOT(ISNUMBER(MATCH((ROW(INDIRECT("'"&amp;$B32&amp;"'!$E$29:$E$45"))-ROW(INDIRECT("'"&amp;$B32&amp;"'!$E$29"))+1)/--(IF(INDIRECT("'"&amp;$B32&amp;"'!$E$29:$E$45")&lt;&gt;"",1,0)), (ROW(INDIRECT("'"&amp;$B32&amp;"'!$E$29:$E$45"))-ROW(INDIRECT("'"&amp;$B32&amp;"'!$E$29"))+1)/--(FIND("VERIFICACIÓN: ", INDIRECT("'"&amp;$B32&amp;"'!$E$29:$E$45"))), 0))))),0))&lt;&gt;0,INDEX(INDIRECT("'"&amp;$B32&amp;"'!$A$29:$G$45"),MAX((IFERROR((ROW(INDIRECT("'"&amp;$B32&amp;"'!$E$29:$E$45"))-ROW(INDIRECT("'"&amp;$B32&amp;"'!$E$29"))+1)/--(IF(INDIRECT("'"&amp;$B32&amp;"'!$E$29:$E$45")&lt;&gt;"",1,0)),0))-(IFERROR((ROW(INDIRECT("'"&amp;$B32&amp;"'!$E$29:$E$45"))-ROW(INDIRECT("'"&amp;$B32&amp;"'!$E$29"))+1)/--(FIND("VERIFICACIÓN: ", INDIRECT("'"&amp;$B32&amp;"'!$E$29:$E$45"))),0))),1),0))</f>
        <v>0</v>
      </c>
      <c r="S32" s="6" t="s">
        <v>70</v>
      </c>
      <c r="T32" s="7" t="str" cm="1">
        <f t="array" aca="1" ref="T32" ca="1">IF(IF(MAX((IFERROR((ROW(INDIRECT("'"&amp;$B32&amp;"'!$F$29:$F$45"))-ROW(INDIRECT("'"&amp;$B32&amp;"'!$F$29"))+1)/--(IF(INDIRECT("'"&amp;$B32&amp;"'!$F$29:$F$45")&lt;&gt;"",1,0)),0))-(IFERROR((ROW(INDIRECT("'"&amp;$B32&amp;"'!$F$29:$F$45"))-ROW(INDIRECT("'"&amp;$B32&amp;"'!$F$29"))+1)/--(FIND("VERIFICACIÓN: ", INDIRECT("'"&amp;$B32&amp;"'!$F$29:$F$45"))),0)))&lt;&gt;0,INDEX(INDIRECT("'"&amp;$B32&amp;"'!$A$29:$G$45"),MAX((IFERROR((ROW(INDIRECT("'"&amp;$B32&amp;"'!$F$29:$F$45"))-ROW(INDIRECT("'"&amp;$B32&amp;"'!$F$29"))+1)/--(IF(INDIRECT("'"&amp;$B32&amp;"'!$F$29:$F$45")&lt;&gt;"",1,0)),0))-(IFERROR((ROW(INDIRECT("'"&amp;$B32&amp;"'!$F$29:$F$45"))-ROW(INDIRECT("'"&amp;$B32&amp;"'!$F$29"))+1)/--(FIND("VERIFICACIÓN: ", INDIRECT("'"&amp;$B32&amp;"'!$F$29:$F$45"))),0))),1),0)&gt;IF(MAX(IFERROR((_xlfn._xlws.FILTER((ROW(INDIRECT("'"&amp;$B32&amp;"'!$E$29:$E$45"))-ROW(INDIRECT("'"&amp;$B32&amp;"'!$E$29"))+1)/--(IF(INDIRECT("'"&amp;$B32&amp;"'!$E$29:$E$45")&lt;&gt;"",1,0)), NOT(ISNUMBER(MATCH((ROW(INDIRECT("'"&amp;$B32&amp;"'!$E$29:$E$45"))-ROW(INDIRECT("'"&amp;$B32&amp;"'!$E$29"))+1)/--(IF(INDIRECT("'"&amp;$B32&amp;"'!$E$29:$E$45")&lt;&gt;"",1,0)), (ROW(INDIRECT("'"&amp;$B32&amp;"'!$E$29:$E$45"))-ROW(INDIRECT("'"&amp;$B32&amp;"'!$E$29"))+1)/--(FIND("VERIFICACIÓN: ", INDIRECT("'"&amp;$B32&amp;"'!$E$29:$E$45"))), 0))))),0))&lt;&gt;0,INDEX(INDIRECT("'"&amp;$B32&amp;"'!$A$29:$G$45"),MAX((IFERROR((ROW(INDIRECT("'"&amp;$B32&amp;"'!$E$29:$E$45"))-ROW(INDIRECT("'"&amp;$B32&amp;"'!$E$29"))+1)/--(IF(INDIRECT("'"&amp;$B32&amp;"'!$E$29:$E$45")&lt;&gt;"",1,0)),0))-(IFERROR((ROW(INDIRECT("'"&amp;$B32&amp;"'!$E$29:$E$45"))-ROW(INDIRECT("'"&amp;$B32&amp;"'!$E$29"))+1)/--(FIND("VERIFICACIÓN: ", INDIRECT("'"&amp;$B32&amp;"'!$E$29:$E$45"))),0))),1),0),IF(MAX((IFERROR((ROW(INDIRECT("'"&amp;$B32&amp;"'!$F$29:$F$45"))-ROW(INDIRECT("'"&amp;$B32&amp;"'!$F$29"))+1)/--(IF(INDIRECT("'"&amp;$B32&amp;"'!$F$29:$F$45")&lt;&gt;"",1,0)),0))-(IFERROR((ROW(INDIRECT("'"&amp;$B32&amp;"'!$F$29:$F$45"))-ROW(INDIRECT("'"&amp;$B32&amp;"'!$F$29"))+1)/--(FIND("VERIFICACIÓN: ", INDIRECT("'"&amp;$B32&amp;"'!$F$29:$F$45"))),0)))&lt;&gt;0,INDEX(INDIRECT("'"&amp;$B32&amp;"'!$A$29:$G$45"),MAX((IFERROR((ROW(INDIRECT("'"&amp;$B32&amp;"'!$F$29:$F$45"))-ROW(INDIRECT("'"&amp;$B32&amp;"'!$F$29"))+1)/--(IF(INDIRECT("'"&amp;$B32&amp;"'!$F$29:$F$45")&lt;&gt;"",1,0)),0))-(IFERROR((ROW(INDIRECT("'"&amp;$B32&amp;"'!$F$29:$F$45"))-ROW(INDIRECT("'"&amp;$B32&amp;"'!$F$29"))+1)/--(FIND("VERIFICACIÓN: ", INDIRECT("'"&amp;$B32&amp;"'!$F$29:$F$45"))),0))),6),"NO DISPONIBLE"),IF(MAX(IFERROR((_xlfn._xlws.FILTER((ROW(INDIRECT("'"&amp;$B32&amp;"'!$E$29:$E$45"))-ROW(INDIRECT("'"&amp;$B32&amp;"'!$E$29"))+1)/--(IF(INDIRECT("'"&amp;$B32&amp;"'!$E$29:$E$45")&lt;&gt;"",1,0)), NOT(ISNUMBER(MATCH((ROW(INDIRECT("'"&amp;$B32&amp;"'!$E$29:$E$45"))-ROW(INDIRECT("'"&amp;$B32&amp;"'!$E$29"))+1)/--(IF(INDIRECT("'"&amp;$B32&amp;"'!$E$29:$E$45")&lt;&gt;"",1,0)), (ROW(INDIRECT("'"&amp;$B32&amp;"'!$E$29:$E$45"))-ROW(INDIRECT("'"&amp;$B32&amp;"'!$E$29"))+1)/--(FIND("VERIFICACIÓN: ", INDIRECT("'"&amp;$B32&amp;"'!$E$29:$E$45"))), 0))))),0))&lt;&gt;0,INDEX(INDIRECT("'"&amp;$B32&amp;"'!$A$29:$G$45"),MAX((IFERROR((ROW(INDIRECT("'"&amp;$B32&amp;"'!$E$29:$E$45"))-ROW(INDIRECT("'"&amp;$B32&amp;"'!$E$29"))+1)/--(IF(INDIRECT("'"&amp;$B32&amp;"'!$E$29:$E$45")&lt;&gt;"",1,0)),0))-(IFERROR((ROW(INDIRECT("'"&amp;$B32&amp;"'!$E$29:$E$45"))-ROW(INDIRECT("'"&amp;$B32&amp;"'!$E$29"))+1)/--(FIND("VERIFICACIÓN: ", INDIRECT("'"&amp;$B32&amp;"'!$E$29:$E$45"))),0))),5),"NO DISPONIBLE"))</f>
        <v>NO DISPONIBLE</v>
      </c>
      <c r="U32" s="3" t="s">
        <v>69</v>
      </c>
      <c r="V32" s="5" cm="1">
        <f t="array" aca="1" ref="V32" ca="1">IF((IFERROR(VLOOKUP(IFERROR(LOOKUP(2,1/((INDIRECT("'"&amp;$B32&amp;"'!$F$29:$F$45"))&lt;&gt;""),(INDIRECT("'"&amp;$B32&amp;"'!$F$29:$F$45"))),"NO DISPONIBLE"),CHOOSE({1,2},(INDIRECT("'"&amp;$B32&amp;"'!$F$29:$F$45")),(INDIRECT("'"&amp;$B32&amp;"'!$A$29:$A$45"))),2,0),0))&gt;(IFERROR(VLOOKUP(IFERROR(LOOKUP(2,1/((INDIRECT("'"&amp;$B32&amp;"'!$E$29:$E$45"))&lt;&gt;""),(INDIRECT("'"&amp;$B32&amp;"'!$E$29:$E$45"))),"NO DISPONIBLE"),CHOOSE({1,2},(INDIRECT("'"&amp;$B32&amp;"'!$E$29:$E$45")),(INDIRECT("'"&amp;$B32&amp;"'!$A$29:$A$45"))),2,0),0)),(IFERROR(VLOOKUP(IFERROR(LOOKUP(2,1/((INDIRECT("'"&amp;$B32&amp;"'!$F$29:$F$45"))&lt;&gt;""),(INDIRECT("'"&amp;$B32&amp;"'!$F$29:$F$45"))),"NO DISPONIBLE"),CHOOSE({1,2},(INDIRECT("'"&amp;$B32&amp;"'!$F$29:$F$45")),(INDIRECT("'"&amp;$B32&amp;"'!$A$29:$A$45"))),2,0),0)),(IFERROR(VLOOKUP(IFERROR(LOOKUP(2,1/((INDIRECT("'"&amp;$B32&amp;"'!$E$29:$E$45"))&lt;&gt;""),(INDIRECT("'"&amp;$B32&amp;"'!$E$29:$E$45"))),"NO DISPONIBLE"),CHOOSE({1,2},(INDIRECT("'"&amp;$B32&amp;"'!$E$29:$E$45")),(INDIRECT("'"&amp;$B32&amp;"'!$A$29:$A$45"))),2,0),0)))</f>
        <v>0</v>
      </c>
      <c r="W32" s="6" t="s">
        <v>70</v>
      </c>
      <c r="X32" s="7" t="str" cm="1">
        <f t="array" aca="1" ref="X32" ca="1">IF((IFERROR(VLOOKUP(IFERROR(LOOKUP(2,1/((INDIRECT("'"&amp;$B32&amp;"'!$E$29:$E$45"))&lt;&gt;""),(INDIRECT("'"&amp;$B32&amp;"'!$E$29:$E$45"))),"NO DISPONIBLE"),CHOOSE({1,2},(INDIRECT("'"&amp;$B32&amp;"'!$E$29:$E$45")),(INDIRECT("'"&amp;$B32&amp;"'!$A$29:$A$45"))),2,0),0))&gt;(IFERROR(VLOOKUP(IFERROR(LOOKUP(2,1/((INDIRECT("'"&amp;$B32&amp;"'!$F$29:$F$45"))&lt;&gt;""),(INDIRECT("'"&amp;$B32&amp;"'!$F$29:$F$45"))),"NO DISPONIBLE"),CHOOSE({1,2},(INDIRECT("'"&amp;$B32&amp;"'!$F$29:$F$45")),(INDIRECT("'"&amp;$B32&amp;"'!$A$29:$A$45"))),2,0),0)),IFERROR(LOOKUP(2,1/((INDIRECT("'"&amp;$B32&amp;"'!$E$29:$E$45"))&lt;&gt;""),(INDIRECT("'"&amp;$B32&amp;"'!$E$29:$E$45"))),"NO DISPONIBLE"),IFERROR(LOOKUP(2,1/((INDIRECT("'"&amp;$B32&amp;"'!$F$29:$F$45"))&lt;&gt;""),(INDIRECT("'"&amp;$B32&amp;"'!$F$29:$F$45"))),"NO DISPONIBLE"))</f>
        <v>NO DISPONIBLE</v>
      </c>
      <c r="Y32" s="3" t="s">
        <v>69</v>
      </c>
      <c r="Z32" s="5" cm="1">
        <f t="array" aca="1" ref="Z32" ca="1">IF((IFERROR(VLOOKUP(IFERROR(LOOKUP(2,1/((INDIRECT("'"&amp;$B32&amp;"'!$D$29:$D$45"))&lt;&gt;""),(INDIRECT("'"&amp;$B32&amp;"'!$D$29:$D$45"))),"NO DISPONIBLE"),CHOOSE({1,2},(INDIRECT("'"&amp;$B32&amp;"'!$D$29:$D$45")),(INDIRECT("'"&amp;$B32&amp;"'!$A$29:$A$45"))),2,0),0))&gt;(IFERROR(VLOOKUP(IFERROR(LOOKUP(2,1/((INDIRECT("'"&amp;$B32&amp;"'!$C$29:$C$45"))&lt;&gt;""),(INDIRECT("'"&amp;$B32&amp;"'!$C$29:$C$45"))),"NO DISPONIBLE"),CHOOSE({1,2},(INDIRECT("'"&amp;$B32&amp;"'!$C$29:$C$45")),(INDIRECT("'"&amp;$B32&amp;"'!$A$29:$A$45"))),2,0),0)),(IFERROR(VLOOKUP(IFERROR(LOOKUP(2,1/((INDIRECT("'"&amp;$B32&amp;"'!$D$29:$D$45"))&lt;&gt;""),(INDIRECT("'"&amp;$B32&amp;"'!$D$29:$D$45"))),"NO DISPONIBLE"),CHOOSE({1,2},(INDIRECT("'"&amp;$B32&amp;"'!$D$29:$D$45")),(INDIRECT("'"&amp;$B32&amp;"'!$A$29:$A$45"))),2,0),0)),(IFERROR(VLOOKUP(IFERROR(LOOKUP(2,1/((INDIRECT("'"&amp;$B32&amp;"'!$C$29:$C$45"))&lt;&gt;""),(INDIRECT("'"&amp;$B32&amp;"'!$C$29:$C$45"))),"NO DISPONIBLE"),CHOOSE({1,2},(INDIRECT("'"&amp;$B32&amp;"'!$C$29:$C$45")),(INDIRECT("'"&amp;$B32&amp;"'!$A$29:$A$45"))),2,0),0)))</f>
        <v>0</v>
      </c>
      <c r="AA32" s="6" t="s">
        <v>70</v>
      </c>
      <c r="AB32" s="7" t="str" cm="1">
        <f t="array" aca="1" ref="AB32" ca="1">IF((IFERROR(VLOOKUP(IFERROR(LOOKUP(2,1/((INDIRECT("'"&amp;$B32&amp;"'!$C$29:$C$45"))&lt;&gt;""),(INDIRECT("'"&amp;$B32&amp;"'!$C$29:$C$45"))),"NO DISPONIBLE"),CHOOSE({1,2},(INDIRECT("'"&amp;$B32&amp;"'!$C$29:$C$45")),(INDIRECT("'"&amp;$B32&amp;"'!$A$29:$A$45"))),2,0),0))&gt;(IFERROR(VLOOKUP(IFERROR(LOOKUP(2,1/((INDIRECT("'"&amp;$B32&amp;"'!$D$29:$D$45"))&lt;&gt;""),(INDIRECT("'"&amp;$B32&amp;"'!$D$29:$D$45"))),"NO DISPONIBLE"),CHOOSE({1,2},(INDIRECT("'"&amp;$B32&amp;"'!$D$29:$D$45")),(INDIRECT("'"&amp;$B32&amp;"'!$A$29:$A$45"))),2,0),0)),IFERROR(LOOKUP(2,1/((INDIRECT("'"&amp;$B32&amp;"'!$C$29:$C$45"))&lt;&gt;""),(INDIRECT("'"&amp;$B32&amp;"'!$C$29:$C$45"))),"NO DISPONIBLE"),IFERROR(LOOKUP(2,1/((INDIRECT("'"&amp;$B32&amp;"'!$D$29:$D$45"))&lt;&gt;""),(INDIRECT("'"&amp;$B32&amp;"'!$D$29:$D$45"))),"NO DISPONIBLE"))</f>
        <v>NO DISPONIBLE</v>
      </c>
      <c r="AC32" s="6" t="s">
        <v>82</v>
      </c>
      <c r="AD32" s="8"/>
    </row>
    <row r="33" spans="1:30" x14ac:dyDescent="0.3">
      <c r="A33" s="2" t="s">
        <v>48</v>
      </c>
      <c r="B33" s="2" t="str" cm="1">
        <f t="array" aca="1" ref="B33" ca="1">INDIRECT("'"&amp;$B33&amp;"'!$A$6")</f>
        <v>DECADA RESISTIVA</v>
      </c>
      <c r="C33" s="3" t="str" cm="1">
        <f t="array" aca="1" ref="C33" ca="1">INDIRECT("'"&amp;$B33&amp;"'!$G$14")</f>
        <v>BXBC</v>
      </c>
      <c r="D33" s="3" t="str" cm="1">
        <f t="array" aca="1" ref="D33" ca="1">INDIRECT("'"&amp;$B33&amp;"'!$G$15")</f>
        <v>HA661A02</v>
      </c>
      <c r="E33" s="24" cm="1">
        <f t="array" aca="1" ref="E33" ca="1">INDIRECT("'"&amp;$B33&amp;"'!$G$16")</f>
        <v>423230</v>
      </c>
      <c r="F33" s="3" t="s">
        <v>65</v>
      </c>
      <c r="G33" s="3" t="s">
        <v>67</v>
      </c>
      <c r="H33" s="9" t="str" cm="1">
        <f t="array" aca="1" ref="H33" ca="1">INDIRECT("'"&amp;$B33&amp;"'!$G$11")</f>
        <v xml:space="preserve">ELÉCTRICAS </v>
      </c>
      <c r="I33" s="3" t="str" cm="1">
        <f t="array" aca="1" ref="I33" ca="1">INDIRECT("'"&amp;$B33&amp;"'!$C$11")</f>
        <v>MEDIA</v>
      </c>
      <c r="J33" s="3" t="str" cm="1">
        <f t="array" aca="1" ref="J33" ca="1">INDIRECT("'"&amp;$B33&amp;"'!$G$21")</f>
        <v>9999999 ohm</v>
      </c>
      <c r="K33" s="3" t="str" cm="1">
        <f t="array" aca="1" ref="K33" ca="1">INDIRECT("'"&amp;$B33&amp;"'!$G$22")</f>
        <v>0 ohm</v>
      </c>
      <c r="L33" s="3" t="str" cm="1">
        <f t="array" aca="1" ref="L33" ca="1">INDIRECT("'"&amp;$B33&amp;"'!$G$23")</f>
        <v>N/A</v>
      </c>
      <c r="M33" s="4"/>
      <c r="N33" s="3" t="str" cm="1">
        <f t="array" aca="1" ref="N33" ca="1">INDIRECT("'"&amp;$B33&amp;"'!$G$22")</f>
        <v>0 ohm</v>
      </c>
      <c r="O33" s="3"/>
      <c r="P33" s="7" t="str" cm="1">
        <f t="array" aca="1" ref="P33" ca="1">IFERROR(LOOKUP(2,1/((INDIRECT("'"&amp;$B33&amp;"'!$G$29:$G$45"))&lt;&gt;""),(INDIRECT("'"&amp;$B33&amp;"'!$G$29:$G$45"))),"NO DISPONIBLE")</f>
        <v>FUNCIONAL</v>
      </c>
      <c r="Q33" s="3" t="s">
        <v>69</v>
      </c>
      <c r="R33" s="5" cm="1">
        <f t="array" aca="1" ref="R33" ca="1">IF(IF(MAX((IFERROR((ROW(INDIRECT("'"&amp;$B33&amp;"'!$F$29:$F$45"))-ROW(INDIRECT("'"&amp;$B33&amp;"'!$F$29"))+1)/--(IF(INDIRECT("'"&amp;$B33&amp;"'!$F$29:$F$45")&lt;&gt;"",1,0)),0))-(IFERROR((ROW(INDIRECT("'"&amp;$B33&amp;"'!$F$29:$F$45"))-ROW(INDIRECT("'"&amp;$B33&amp;"'!$F$29"))+1)/--(FIND("VERIFICACIÓN: ", INDIRECT("'"&amp;$B33&amp;"'!$F$29:$F$45"))),0)))&lt;&gt;0,INDEX(INDIRECT("'"&amp;$B33&amp;"'!$A$29:$G$45"),MAX((IFERROR((ROW(INDIRECT("'"&amp;$B33&amp;"'!$F$29:$F$45"))-ROW(INDIRECT("'"&amp;$B33&amp;"'!$F$29"))+1)/--(IF(INDIRECT("'"&amp;$B33&amp;"'!$F$29:$F$45")&lt;&gt;"",1,0)),0))-(IFERROR((ROW(INDIRECT("'"&amp;$B33&amp;"'!$F$29:$F$45"))-ROW(INDIRECT("'"&amp;$B33&amp;"'!$F$29"))+1)/--(FIND("VERIFICACIÓN: ", INDIRECT("'"&amp;$B33&amp;"'!$F$29:$F$45"))),0))),1),0)&gt;IF(MAX(IFERROR((_xlfn._xlws.FILTER((ROW(INDIRECT("'"&amp;$B33&amp;"'!$E$29:$E$45"))-ROW(INDIRECT("'"&amp;$B33&amp;"'!$E$29"))+1)/--(IF(INDIRECT("'"&amp;$B33&amp;"'!$E$29:$E$45")&lt;&gt;"",1,0)), NOT(ISNUMBER(MATCH((ROW(INDIRECT("'"&amp;$B33&amp;"'!$E$29:$E$45"))-ROW(INDIRECT("'"&amp;$B33&amp;"'!$E$29"))+1)/--(IF(INDIRECT("'"&amp;$B33&amp;"'!$E$29:$E$45")&lt;&gt;"",1,0)), (ROW(INDIRECT("'"&amp;$B33&amp;"'!$E$29:$E$45"))-ROW(INDIRECT("'"&amp;$B33&amp;"'!$E$29"))+1)/--(FIND("VERIFICACIÓN: ", INDIRECT("'"&amp;$B33&amp;"'!$E$29:$E$45"))), 0))))),0))&lt;&gt;0,INDEX(INDIRECT("'"&amp;$B33&amp;"'!$A$29:$G$45"),MAX((IFERROR((ROW(INDIRECT("'"&amp;$B33&amp;"'!$E$29:$E$45"))-ROW(INDIRECT("'"&amp;$B33&amp;"'!$E$29"))+1)/--(IF(INDIRECT("'"&amp;$B33&amp;"'!$E$29:$E$45")&lt;&gt;"",1,0)),0))-(IFERROR((ROW(INDIRECT("'"&amp;$B33&amp;"'!$E$29:$E$45"))-ROW(INDIRECT("'"&amp;$B33&amp;"'!$E$29"))+1)/--(FIND("VERIFICACIÓN: ", INDIRECT("'"&amp;$B33&amp;"'!$E$29:$E$45"))),0))),1),0),IF(MAX((IFERROR((ROW(INDIRECT("'"&amp;$B33&amp;"'!$F$29:$F$45"))-ROW(INDIRECT("'"&amp;$B33&amp;"'!$F$29"))+1)/--(IF(INDIRECT("'"&amp;$B33&amp;"'!$F$29:$F$45")&lt;&gt;"",1,0)),0))-(IFERROR((ROW(INDIRECT("'"&amp;$B33&amp;"'!$F$29:$F$45"))-ROW(INDIRECT("'"&amp;$B33&amp;"'!$F$29"))+1)/--(FIND("VERIFICACIÓN: ", INDIRECT("'"&amp;$B33&amp;"'!$F$29:$F$45"))),0)))&lt;&gt;0,INDEX(INDIRECT("'"&amp;$B33&amp;"'!$A$29:$G$45"),MAX((IFERROR((ROW(INDIRECT("'"&amp;$B33&amp;"'!$F$29:$F$45"))-ROW(INDIRECT("'"&amp;$B33&amp;"'!$F$29"))+1)/--(IF(INDIRECT("'"&amp;$B33&amp;"'!$F$29:$F$45")&lt;&gt;"",1,0)),0))-(IFERROR((ROW(INDIRECT("'"&amp;$B33&amp;"'!$F$29:$F$45"))-ROW(INDIRECT("'"&amp;$B33&amp;"'!$F$29"))+1)/--(FIND("VERIFICACIÓN: ", INDIRECT("'"&amp;$B33&amp;"'!$F$29:$F$45"))),0))),1),0),IF(MAX(IFERROR((_xlfn._xlws.FILTER((ROW(INDIRECT("'"&amp;$B33&amp;"'!$E$29:$E$45"))-ROW(INDIRECT("'"&amp;$B33&amp;"'!$E$29"))+1)/--(IF(INDIRECT("'"&amp;$B33&amp;"'!$E$29:$E$45")&lt;&gt;"",1,0)), NOT(ISNUMBER(MATCH((ROW(INDIRECT("'"&amp;$B33&amp;"'!$E$29:$E$45"))-ROW(INDIRECT("'"&amp;$B33&amp;"'!$E$29"))+1)/--(IF(INDIRECT("'"&amp;$B33&amp;"'!$E$29:$E$45")&lt;&gt;"",1,0)), (ROW(INDIRECT("'"&amp;$B33&amp;"'!$E$29:$E$45"))-ROW(INDIRECT("'"&amp;$B33&amp;"'!$E$29"))+1)/--(FIND("VERIFICACIÓN: ", INDIRECT("'"&amp;$B33&amp;"'!$E$29:$E$45"))), 0))))),0))&lt;&gt;0,INDEX(INDIRECT("'"&amp;$B33&amp;"'!$A$29:$G$45"),MAX((IFERROR((ROW(INDIRECT("'"&amp;$B33&amp;"'!$E$29:$E$45"))-ROW(INDIRECT("'"&amp;$B33&amp;"'!$E$29"))+1)/--(IF(INDIRECT("'"&amp;$B33&amp;"'!$E$29:$E$45")&lt;&gt;"",1,0)),0))-(IFERROR((ROW(INDIRECT("'"&amp;$B33&amp;"'!$E$29:$E$45"))-ROW(INDIRECT("'"&amp;$B33&amp;"'!$E$29"))+1)/--(FIND("VERIFICACIÓN: ", INDIRECT("'"&amp;$B33&amp;"'!$E$29:$E$45"))),0))),1),0))</f>
        <v>0</v>
      </c>
      <c r="S33" s="6" t="s">
        <v>70</v>
      </c>
      <c r="T33" s="7" t="str" cm="1">
        <f t="array" aca="1" ref="T33" ca="1">IF(IF(MAX((IFERROR((ROW(INDIRECT("'"&amp;$B33&amp;"'!$F$29:$F$45"))-ROW(INDIRECT("'"&amp;$B33&amp;"'!$F$29"))+1)/--(IF(INDIRECT("'"&amp;$B33&amp;"'!$F$29:$F$45")&lt;&gt;"",1,0)),0))-(IFERROR((ROW(INDIRECT("'"&amp;$B33&amp;"'!$F$29:$F$45"))-ROW(INDIRECT("'"&amp;$B33&amp;"'!$F$29"))+1)/--(FIND("VERIFICACIÓN: ", INDIRECT("'"&amp;$B33&amp;"'!$F$29:$F$45"))),0)))&lt;&gt;0,INDEX(INDIRECT("'"&amp;$B33&amp;"'!$A$29:$G$45"),MAX((IFERROR((ROW(INDIRECT("'"&amp;$B33&amp;"'!$F$29:$F$45"))-ROW(INDIRECT("'"&amp;$B33&amp;"'!$F$29"))+1)/--(IF(INDIRECT("'"&amp;$B33&amp;"'!$F$29:$F$45")&lt;&gt;"",1,0)),0))-(IFERROR((ROW(INDIRECT("'"&amp;$B33&amp;"'!$F$29:$F$45"))-ROW(INDIRECT("'"&amp;$B33&amp;"'!$F$29"))+1)/--(FIND("VERIFICACIÓN: ", INDIRECT("'"&amp;$B33&amp;"'!$F$29:$F$45"))),0))),1),0)&gt;IF(MAX(IFERROR((_xlfn._xlws.FILTER((ROW(INDIRECT("'"&amp;$B33&amp;"'!$E$29:$E$45"))-ROW(INDIRECT("'"&amp;$B33&amp;"'!$E$29"))+1)/--(IF(INDIRECT("'"&amp;$B33&amp;"'!$E$29:$E$45")&lt;&gt;"",1,0)), NOT(ISNUMBER(MATCH((ROW(INDIRECT("'"&amp;$B33&amp;"'!$E$29:$E$45"))-ROW(INDIRECT("'"&amp;$B33&amp;"'!$E$29"))+1)/--(IF(INDIRECT("'"&amp;$B33&amp;"'!$E$29:$E$45")&lt;&gt;"",1,0)), (ROW(INDIRECT("'"&amp;$B33&amp;"'!$E$29:$E$45"))-ROW(INDIRECT("'"&amp;$B33&amp;"'!$E$29"))+1)/--(FIND("VERIFICACIÓN: ", INDIRECT("'"&amp;$B33&amp;"'!$E$29:$E$45"))), 0))))),0))&lt;&gt;0,INDEX(INDIRECT("'"&amp;$B33&amp;"'!$A$29:$G$45"),MAX((IFERROR((ROW(INDIRECT("'"&amp;$B33&amp;"'!$E$29:$E$45"))-ROW(INDIRECT("'"&amp;$B33&amp;"'!$E$29"))+1)/--(IF(INDIRECT("'"&amp;$B33&amp;"'!$E$29:$E$45")&lt;&gt;"",1,0)),0))-(IFERROR((ROW(INDIRECT("'"&amp;$B33&amp;"'!$E$29:$E$45"))-ROW(INDIRECT("'"&amp;$B33&amp;"'!$E$29"))+1)/--(FIND("VERIFICACIÓN: ", INDIRECT("'"&amp;$B33&amp;"'!$E$29:$E$45"))),0))),1),0),IF(MAX((IFERROR((ROW(INDIRECT("'"&amp;$B33&amp;"'!$F$29:$F$45"))-ROW(INDIRECT("'"&amp;$B33&amp;"'!$F$29"))+1)/--(IF(INDIRECT("'"&amp;$B33&amp;"'!$F$29:$F$45")&lt;&gt;"",1,0)),0))-(IFERROR((ROW(INDIRECT("'"&amp;$B33&amp;"'!$F$29:$F$45"))-ROW(INDIRECT("'"&amp;$B33&amp;"'!$F$29"))+1)/--(FIND("VERIFICACIÓN: ", INDIRECT("'"&amp;$B33&amp;"'!$F$29:$F$45"))),0)))&lt;&gt;0,INDEX(INDIRECT("'"&amp;$B33&amp;"'!$A$29:$G$45"),MAX((IFERROR((ROW(INDIRECT("'"&amp;$B33&amp;"'!$F$29:$F$45"))-ROW(INDIRECT("'"&amp;$B33&amp;"'!$F$29"))+1)/--(IF(INDIRECT("'"&amp;$B33&amp;"'!$F$29:$F$45")&lt;&gt;"",1,0)),0))-(IFERROR((ROW(INDIRECT("'"&amp;$B33&amp;"'!$F$29:$F$45"))-ROW(INDIRECT("'"&amp;$B33&amp;"'!$F$29"))+1)/--(FIND("VERIFICACIÓN: ", INDIRECT("'"&amp;$B33&amp;"'!$F$29:$F$45"))),0))),6),"NO DISPONIBLE"),IF(MAX(IFERROR((_xlfn._xlws.FILTER((ROW(INDIRECT("'"&amp;$B33&amp;"'!$E$29:$E$45"))-ROW(INDIRECT("'"&amp;$B33&amp;"'!$E$29"))+1)/--(IF(INDIRECT("'"&amp;$B33&amp;"'!$E$29:$E$45")&lt;&gt;"",1,0)), NOT(ISNUMBER(MATCH((ROW(INDIRECT("'"&amp;$B33&amp;"'!$E$29:$E$45"))-ROW(INDIRECT("'"&amp;$B33&amp;"'!$E$29"))+1)/--(IF(INDIRECT("'"&amp;$B33&amp;"'!$E$29:$E$45")&lt;&gt;"",1,0)), (ROW(INDIRECT("'"&amp;$B33&amp;"'!$E$29:$E$45"))-ROW(INDIRECT("'"&amp;$B33&amp;"'!$E$29"))+1)/--(FIND("VERIFICACIÓN: ", INDIRECT("'"&amp;$B33&amp;"'!$E$29:$E$45"))), 0))))),0))&lt;&gt;0,INDEX(INDIRECT("'"&amp;$B33&amp;"'!$A$29:$G$45"),MAX((IFERROR((ROW(INDIRECT("'"&amp;$B33&amp;"'!$E$29:$E$45"))-ROW(INDIRECT("'"&amp;$B33&amp;"'!$E$29"))+1)/--(IF(INDIRECT("'"&amp;$B33&amp;"'!$E$29:$E$45")&lt;&gt;"",1,0)),0))-(IFERROR((ROW(INDIRECT("'"&amp;$B33&amp;"'!$E$29:$E$45"))-ROW(INDIRECT("'"&amp;$B33&amp;"'!$E$29"))+1)/--(FIND("VERIFICACIÓN: ", INDIRECT("'"&amp;$B33&amp;"'!$E$29:$E$45"))),0))),5),"NO DISPONIBLE"))</f>
        <v>NO DISPONIBLE</v>
      </c>
      <c r="U33" s="3" t="s">
        <v>69</v>
      </c>
      <c r="V33" s="5" cm="1">
        <f t="array" aca="1" ref="V33" ca="1">IF((IFERROR(VLOOKUP(IFERROR(LOOKUP(2,1/((INDIRECT("'"&amp;$B33&amp;"'!$F$29:$F$45"))&lt;&gt;""),(INDIRECT("'"&amp;$B33&amp;"'!$F$29:$F$45"))),"NO DISPONIBLE"),CHOOSE({1,2},(INDIRECT("'"&amp;$B33&amp;"'!$F$29:$F$45")),(INDIRECT("'"&amp;$B33&amp;"'!$A$29:$A$45"))),2,0),0))&gt;(IFERROR(VLOOKUP(IFERROR(LOOKUP(2,1/((INDIRECT("'"&amp;$B33&amp;"'!$E$29:$E$45"))&lt;&gt;""),(INDIRECT("'"&amp;$B33&amp;"'!$E$29:$E$45"))),"NO DISPONIBLE"),CHOOSE({1,2},(INDIRECT("'"&amp;$B33&amp;"'!$E$29:$E$45")),(INDIRECT("'"&amp;$B33&amp;"'!$A$29:$A$45"))),2,0),0)),(IFERROR(VLOOKUP(IFERROR(LOOKUP(2,1/((INDIRECT("'"&amp;$B33&amp;"'!$F$29:$F$45"))&lt;&gt;""),(INDIRECT("'"&amp;$B33&amp;"'!$F$29:$F$45"))),"NO DISPONIBLE"),CHOOSE({1,2},(INDIRECT("'"&amp;$B33&amp;"'!$F$29:$F$45")),(INDIRECT("'"&amp;$B33&amp;"'!$A$29:$A$45"))),2,0),0)),(IFERROR(VLOOKUP(IFERROR(LOOKUP(2,1/((INDIRECT("'"&amp;$B33&amp;"'!$E$29:$E$45"))&lt;&gt;""),(INDIRECT("'"&amp;$B33&amp;"'!$E$29:$E$45"))),"NO DISPONIBLE"),CHOOSE({1,2},(INDIRECT("'"&amp;$B33&amp;"'!$E$29:$E$45")),(INDIRECT("'"&amp;$B33&amp;"'!$A$29:$A$45"))),2,0),0)))</f>
        <v>0</v>
      </c>
      <c r="W33" s="6" t="s">
        <v>70</v>
      </c>
      <c r="X33" s="7" t="str" cm="1">
        <f t="array" aca="1" ref="X33" ca="1">IF((IFERROR(VLOOKUP(IFERROR(LOOKUP(2,1/((INDIRECT("'"&amp;$B33&amp;"'!$E$29:$E$45"))&lt;&gt;""),(INDIRECT("'"&amp;$B33&amp;"'!$E$29:$E$45"))),"NO DISPONIBLE"),CHOOSE({1,2},(INDIRECT("'"&amp;$B33&amp;"'!$E$29:$E$45")),(INDIRECT("'"&amp;$B33&amp;"'!$A$29:$A$45"))),2,0),0))&gt;(IFERROR(VLOOKUP(IFERROR(LOOKUP(2,1/((INDIRECT("'"&amp;$B33&amp;"'!$F$29:$F$45"))&lt;&gt;""),(INDIRECT("'"&amp;$B33&amp;"'!$F$29:$F$45"))),"NO DISPONIBLE"),CHOOSE({1,2},(INDIRECT("'"&amp;$B33&amp;"'!$F$29:$F$45")),(INDIRECT("'"&amp;$B33&amp;"'!$A$29:$A$45"))),2,0),0)),IFERROR(LOOKUP(2,1/((INDIRECT("'"&amp;$B33&amp;"'!$E$29:$E$45"))&lt;&gt;""),(INDIRECT("'"&amp;$B33&amp;"'!$E$29:$E$45"))),"NO DISPONIBLE"),IFERROR(LOOKUP(2,1/((INDIRECT("'"&amp;$B33&amp;"'!$F$29:$F$45"))&lt;&gt;""),(INDIRECT("'"&amp;$B33&amp;"'!$F$29:$F$45"))),"NO DISPONIBLE"))</f>
        <v>NO DISPONIBLE</v>
      </c>
      <c r="Y33" s="3" t="s">
        <v>69</v>
      </c>
      <c r="Z33" s="5" cm="1">
        <f t="array" aca="1" ref="Z33" ca="1">IF((IFERROR(VLOOKUP(IFERROR(LOOKUP(2,1/((INDIRECT("'"&amp;$B33&amp;"'!$D$29:$D$45"))&lt;&gt;""),(INDIRECT("'"&amp;$B33&amp;"'!$D$29:$D$45"))),"NO DISPONIBLE"),CHOOSE({1,2},(INDIRECT("'"&amp;$B33&amp;"'!$D$29:$D$45")),(INDIRECT("'"&amp;$B33&amp;"'!$A$29:$A$45"))),2,0),0))&gt;(IFERROR(VLOOKUP(IFERROR(LOOKUP(2,1/((INDIRECT("'"&amp;$B33&amp;"'!$C$29:$C$45"))&lt;&gt;""),(INDIRECT("'"&amp;$B33&amp;"'!$C$29:$C$45"))),"NO DISPONIBLE"),CHOOSE({1,2},(INDIRECT("'"&amp;$B33&amp;"'!$C$29:$C$45")),(INDIRECT("'"&amp;$B33&amp;"'!$A$29:$A$45"))),2,0),0)),(IFERROR(VLOOKUP(IFERROR(LOOKUP(2,1/((INDIRECT("'"&amp;$B33&amp;"'!$D$29:$D$45"))&lt;&gt;""),(INDIRECT("'"&amp;$B33&amp;"'!$D$29:$D$45"))),"NO DISPONIBLE"),CHOOSE({1,2},(INDIRECT("'"&amp;$B33&amp;"'!$D$29:$D$45")),(INDIRECT("'"&amp;$B33&amp;"'!$A$29:$A$45"))),2,0),0)),(IFERROR(VLOOKUP(IFERROR(LOOKUP(2,1/((INDIRECT("'"&amp;$B33&amp;"'!$C$29:$C$45"))&lt;&gt;""),(INDIRECT("'"&amp;$B33&amp;"'!$C$29:$C$45"))),"NO DISPONIBLE"),CHOOSE({1,2},(INDIRECT("'"&amp;$B33&amp;"'!$C$29:$C$45")),(INDIRECT("'"&amp;$B33&amp;"'!$A$29:$A$45"))),2,0),0)))</f>
        <v>0</v>
      </c>
      <c r="AA33" s="6" t="s">
        <v>70</v>
      </c>
      <c r="AB33" s="7" t="str" cm="1">
        <f t="array" aca="1" ref="AB33" ca="1">IF((IFERROR(VLOOKUP(IFERROR(LOOKUP(2,1/((INDIRECT("'"&amp;$B33&amp;"'!$C$29:$C$45"))&lt;&gt;""),(INDIRECT("'"&amp;$B33&amp;"'!$C$29:$C$45"))),"NO DISPONIBLE"),CHOOSE({1,2},(INDIRECT("'"&amp;$B33&amp;"'!$C$29:$C$45")),(INDIRECT("'"&amp;$B33&amp;"'!$A$29:$A$45"))),2,0),0))&gt;(IFERROR(VLOOKUP(IFERROR(LOOKUP(2,1/((INDIRECT("'"&amp;$B33&amp;"'!$D$29:$D$45"))&lt;&gt;""),(INDIRECT("'"&amp;$B33&amp;"'!$D$29:$D$45"))),"NO DISPONIBLE"),CHOOSE({1,2},(INDIRECT("'"&amp;$B33&amp;"'!$D$29:$D$45")),(INDIRECT("'"&amp;$B33&amp;"'!$A$29:$A$45"))),2,0),0)),IFERROR(LOOKUP(2,1/((INDIRECT("'"&amp;$B33&amp;"'!$C$29:$C$45"))&lt;&gt;""),(INDIRECT("'"&amp;$B33&amp;"'!$C$29:$C$45"))),"NO DISPONIBLE"),IFERROR(LOOKUP(2,1/((INDIRECT("'"&amp;$B33&amp;"'!$D$29:$D$45"))&lt;&gt;""),(INDIRECT("'"&amp;$B33&amp;"'!$D$29:$D$45"))),"NO DISPONIBLE"))</f>
        <v>NO DISPONIBLE</v>
      </c>
      <c r="AC33" s="6" t="s">
        <v>82</v>
      </c>
      <c r="AD33" s="8"/>
    </row>
    <row r="34" spans="1:30" x14ac:dyDescent="0.3">
      <c r="A34" s="2" t="s">
        <v>49</v>
      </c>
      <c r="B34" s="2" t="str" cm="1">
        <f t="array" aca="1" ref="B34" ca="1">INDIRECT("'"&amp;$B34&amp;"'!$A$6")</f>
        <v>TERMOMETRO PUNZON</v>
      </c>
      <c r="C34" s="3" t="str" cm="1">
        <f t="array" aca="1" ref="C34" ca="1">INDIRECT("'"&amp;$B34&amp;"'!$G$14")</f>
        <v>HANNA</v>
      </c>
      <c r="D34" s="3" t="str" cm="1">
        <f t="array" aca="1" ref="D34" ca="1">INDIRECT("'"&amp;$B34&amp;"'!$G$15")</f>
        <v>H151-5</v>
      </c>
      <c r="E34" s="24" t="str" cm="1">
        <f t="array" aca="1" ref="E34" ca="1">INDIRECT("'"&amp;$B34&amp;"'!$G$16")</f>
        <v>CO108612T</v>
      </c>
      <c r="F34" s="3" t="s">
        <v>66</v>
      </c>
      <c r="G34" s="3" t="s">
        <v>67</v>
      </c>
      <c r="H34" s="3" t="str" cm="1">
        <f t="array" aca="1" ref="H34" ca="1">INDIRECT("'"&amp;$B34&amp;"'!$G$11")</f>
        <v>TEMPERATURA</v>
      </c>
      <c r="I34" s="3" t="str" cm="1">
        <f t="array" aca="1" ref="I34" ca="1">INDIRECT("'"&amp;$B34&amp;"'!$C$11")</f>
        <v>MEDIA</v>
      </c>
      <c r="J34" s="3" t="str" cm="1">
        <f t="array" aca="1" ref="J34" ca="1">INDIRECT("'"&amp;$B34&amp;"'!$G$21")</f>
        <v>150°C</v>
      </c>
      <c r="K34" s="3" t="str" cm="1">
        <f t="array" aca="1" ref="K34" ca="1">INDIRECT("'"&amp;$B34&amp;"'!$G$22")</f>
        <v>-50 °C</v>
      </c>
      <c r="L34" s="3" t="str" cm="1">
        <f t="array" aca="1" ref="L34" ca="1">INDIRECT("'"&amp;$B34&amp;"'!$G$23")</f>
        <v>N/A</v>
      </c>
      <c r="M34" s="4"/>
      <c r="N34" s="3" t="str" cm="1">
        <f t="array" aca="1" ref="N34" ca="1">INDIRECT("'"&amp;$B34&amp;"'!$G$22")</f>
        <v>-50 °C</v>
      </c>
      <c r="O34" s="3"/>
      <c r="P34" s="7" t="str" cm="1">
        <f t="array" aca="1" ref="P34" ca="1">IFERROR(LOOKUP(2,1/((INDIRECT("'"&amp;$B34&amp;"'!$G$29:$G$45"))&lt;&gt;""),(INDIRECT("'"&amp;$B34&amp;"'!$G$29:$G$45"))),"NO DISPONIBLE")</f>
        <v>FUNCIONAL</v>
      </c>
      <c r="Q34" s="3" t="s">
        <v>69</v>
      </c>
      <c r="R34" s="5" cm="1">
        <f t="array" aca="1" ref="R34" ca="1">IF(IF(MAX((IFERROR((ROW(INDIRECT("'"&amp;$B34&amp;"'!$F$29:$F$45"))-ROW(INDIRECT("'"&amp;$B34&amp;"'!$F$29"))+1)/--(IF(INDIRECT("'"&amp;$B34&amp;"'!$F$29:$F$45")&lt;&gt;"",1,0)),0))-(IFERROR((ROW(INDIRECT("'"&amp;$B34&amp;"'!$F$29:$F$45"))-ROW(INDIRECT("'"&amp;$B34&amp;"'!$F$29"))+1)/--(FIND("VERIFICACIÓN: ", INDIRECT("'"&amp;$B34&amp;"'!$F$29:$F$45"))),0)))&lt;&gt;0,INDEX(INDIRECT("'"&amp;$B34&amp;"'!$A$29:$G$45"),MAX((IFERROR((ROW(INDIRECT("'"&amp;$B34&amp;"'!$F$29:$F$45"))-ROW(INDIRECT("'"&amp;$B34&amp;"'!$F$29"))+1)/--(IF(INDIRECT("'"&amp;$B34&amp;"'!$F$29:$F$45")&lt;&gt;"",1,0)),0))-(IFERROR((ROW(INDIRECT("'"&amp;$B34&amp;"'!$F$29:$F$45"))-ROW(INDIRECT("'"&amp;$B34&amp;"'!$F$29"))+1)/--(FIND("VERIFICACIÓN: ", INDIRECT("'"&amp;$B34&amp;"'!$F$29:$F$45"))),0))),1),0)&gt;IF(MAX(IFERROR((_xlfn._xlws.FILTER((ROW(INDIRECT("'"&amp;$B34&amp;"'!$E$29:$E$45"))-ROW(INDIRECT("'"&amp;$B34&amp;"'!$E$29"))+1)/--(IF(INDIRECT("'"&amp;$B34&amp;"'!$E$29:$E$45")&lt;&gt;"",1,0)), NOT(ISNUMBER(MATCH((ROW(INDIRECT("'"&amp;$B34&amp;"'!$E$29:$E$45"))-ROW(INDIRECT("'"&amp;$B34&amp;"'!$E$29"))+1)/--(IF(INDIRECT("'"&amp;$B34&amp;"'!$E$29:$E$45")&lt;&gt;"",1,0)), (ROW(INDIRECT("'"&amp;$B34&amp;"'!$E$29:$E$45"))-ROW(INDIRECT("'"&amp;$B34&amp;"'!$E$29"))+1)/--(FIND("VERIFICACIÓN: ", INDIRECT("'"&amp;$B34&amp;"'!$E$29:$E$45"))), 0))))),0))&lt;&gt;0,INDEX(INDIRECT("'"&amp;$B34&amp;"'!$A$29:$G$45"),MAX((IFERROR((ROW(INDIRECT("'"&amp;$B34&amp;"'!$E$29:$E$45"))-ROW(INDIRECT("'"&amp;$B34&amp;"'!$E$29"))+1)/--(IF(INDIRECT("'"&amp;$B34&amp;"'!$E$29:$E$45")&lt;&gt;"",1,0)),0))-(IFERROR((ROW(INDIRECT("'"&amp;$B34&amp;"'!$E$29:$E$45"))-ROW(INDIRECT("'"&amp;$B34&amp;"'!$E$29"))+1)/--(FIND("VERIFICACIÓN: ", INDIRECT("'"&amp;$B34&amp;"'!$E$29:$E$45"))),0))),1),0),IF(MAX((IFERROR((ROW(INDIRECT("'"&amp;$B34&amp;"'!$F$29:$F$45"))-ROW(INDIRECT("'"&amp;$B34&amp;"'!$F$29"))+1)/--(IF(INDIRECT("'"&amp;$B34&amp;"'!$F$29:$F$45")&lt;&gt;"",1,0)),0))-(IFERROR((ROW(INDIRECT("'"&amp;$B34&amp;"'!$F$29:$F$45"))-ROW(INDIRECT("'"&amp;$B34&amp;"'!$F$29"))+1)/--(FIND("VERIFICACIÓN: ", INDIRECT("'"&amp;$B34&amp;"'!$F$29:$F$45"))),0)))&lt;&gt;0,INDEX(INDIRECT("'"&amp;$B34&amp;"'!$A$29:$G$45"),MAX((IFERROR((ROW(INDIRECT("'"&amp;$B34&amp;"'!$F$29:$F$45"))-ROW(INDIRECT("'"&amp;$B34&amp;"'!$F$29"))+1)/--(IF(INDIRECT("'"&amp;$B34&amp;"'!$F$29:$F$45")&lt;&gt;"",1,0)),0))-(IFERROR((ROW(INDIRECT("'"&amp;$B34&amp;"'!$F$29:$F$45"))-ROW(INDIRECT("'"&amp;$B34&amp;"'!$F$29"))+1)/--(FIND("VERIFICACIÓN: ", INDIRECT("'"&amp;$B34&amp;"'!$F$29:$F$45"))),0))),1),0),IF(MAX(IFERROR((_xlfn._xlws.FILTER((ROW(INDIRECT("'"&amp;$B34&amp;"'!$E$29:$E$45"))-ROW(INDIRECT("'"&amp;$B34&amp;"'!$E$29"))+1)/--(IF(INDIRECT("'"&amp;$B34&amp;"'!$E$29:$E$45")&lt;&gt;"",1,0)), NOT(ISNUMBER(MATCH((ROW(INDIRECT("'"&amp;$B34&amp;"'!$E$29:$E$45"))-ROW(INDIRECT("'"&amp;$B34&amp;"'!$E$29"))+1)/--(IF(INDIRECT("'"&amp;$B34&amp;"'!$E$29:$E$45")&lt;&gt;"",1,0)), (ROW(INDIRECT("'"&amp;$B34&amp;"'!$E$29:$E$45"))-ROW(INDIRECT("'"&amp;$B34&amp;"'!$E$29"))+1)/--(FIND("VERIFICACIÓN: ", INDIRECT("'"&amp;$B34&amp;"'!$E$29:$E$45"))), 0))))),0))&lt;&gt;0,INDEX(INDIRECT("'"&amp;$B34&amp;"'!$A$29:$G$45"),MAX((IFERROR((ROW(INDIRECT("'"&amp;$B34&amp;"'!$E$29:$E$45"))-ROW(INDIRECT("'"&amp;$B34&amp;"'!$E$29"))+1)/--(IF(INDIRECT("'"&amp;$B34&amp;"'!$E$29:$E$45")&lt;&gt;"",1,0)),0))-(IFERROR((ROW(INDIRECT("'"&amp;$B34&amp;"'!$E$29:$E$45"))-ROW(INDIRECT("'"&amp;$B34&amp;"'!$E$29"))+1)/--(FIND("VERIFICACIÓN: ", INDIRECT("'"&amp;$B34&amp;"'!$E$29:$E$45"))),0))),1),0))</f>
        <v>45155</v>
      </c>
      <c r="S34" s="6" t="s">
        <v>70</v>
      </c>
      <c r="T34" s="7" t="str" cm="1">
        <f t="array" aca="1" ref="T34" ca="1">IF(IF(MAX((IFERROR((ROW(INDIRECT("'"&amp;$B34&amp;"'!$F$29:$F$45"))-ROW(INDIRECT("'"&amp;$B34&amp;"'!$F$29"))+1)/--(IF(INDIRECT("'"&amp;$B34&amp;"'!$F$29:$F$45")&lt;&gt;"",1,0)),0))-(IFERROR((ROW(INDIRECT("'"&amp;$B34&amp;"'!$F$29:$F$45"))-ROW(INDIRECT("'"&amp;$B34&amp;"'!$F$29"))+1)/--(FIND("VERIFICACIÓN: ", INDIRECT("'"&amp;$B34&amp;"'!$F$29:$F$45"))),0)))&lt;&gt;0,INDEX(INDIRECT("'"&amp;$B34&amp;"'!$A$29:$G$45"),MAX((IFERROR((ROW(INDIRECT("'"&amp;$B34&amp;"'!$F$29:$F$45"))-ROW(INDIRECT("'"&amp;$B34&amp;"'!$F$29"))+1)/--(IF(INDIRECT("'"&amp;$B34&amp;"'!$F$29:$F$45")&lt;&gt;"",1,0)),0))-(IFERROR((ROW(INDIRECT("'"&amp;$B34&amp;"'!$F$29:$F$45"))-ROW(INDIRECT("'"&amp;$B34&amp;"'!$F$29"))+1)/--(FIND("VERIFICACIÓN: ", INDIRECT("'"&amp;$B34&amp;"'!$F$29:$F$45"))),0))),1),0)&gt;IF(MAX(IFERROR((_xlfn._xlws.FILTER((ROW(INDIRECT("'"&amp;$B34&amp;"'!$E$29:$E$45"))-ROW(INDIRECT("'"&amp;$B34&amp;"'!$E$29"))+1)/--(IF(INDIRECT("'"&amp;$B34&amp;"'!$E$29:$E$45")&lt;&gt;"",1,0)), NOT(ISNUMBER(MATCH((ROW(INDIRECT("'"&amp;$B34&amp;"'!$E$29:$E$45"))-ROW(INDIRECT("'"&amp;$B34&amp;"'!$E$29"))+1)/--(IF(INDIRECT("'"&amp;$B34&amp;"'!$E$29:$E$45")&lt;&gt;"",1,0)), (ROW(INDIRECT("'"&amp;$B34&amp;"'!$E$29:$E$45"))-ROW(INDIRECT("'"&amp;$B34&amp;"'!$E$29"))+1)/--(FIND("VERIFICACIÓN: ", INDIRECT("'"&amp;$B34&amp;"'!$E$29:$E$45"))), 0))))),0))&lt;&gt;0,INDEX(INDIRECT("'"&amp;$B34&amp;"'!$A$29:$G$45"),MAX((IFERROR((ROW(INDIRECT("'"&amp;$B34&amp;"'!$E$29:$E$45"))-ROW(INDIRECT("'"&amp;$B34&amp;"'!$E$29"))+1)/--(IF(INDIRECT("'"&amp;$B34&amp;"'!$E$29:$E$45")&lt;&gt;"",1,0)),0))-(IFERROR((ROW(INDIRECT("'"&amp;$B34&amp;"'!$E$29:$E$45"))-ROW(INDIRECT("'"&amp;$B34&amp;"'!$E$29"))+1)/--(FIND("VERIFICACIÓN: ", INDIRECT("'"&amp;$B34&amp;"'!$E$29:$E$45"))),0))),1),0),IF(MAX((IFERROR((ROW(INDIRECT("'"&amp;$B34&amp;"'!$F$29:$F$45"))-ROW(INDIRECT("'"&amp;$B34&amp;"'!$F$29"))+1)/--(IF(INDIRECT("'"&amp;$B34&amp;"'!$F$29:$F$45")&lt;&gt;"",1,0)),0))-(IFERROR((ROW(INDIRECT("'"&amp;$B34&amp;"'!$F$29:$F$45"))-ROW(INDIRECT("'"&amp;$B34&amp;"'!$F$29"))+1)/--(FIND("VERIFICACIÓN: ", INDIRECT("'"&amp;$B34&amp;"'!$F$29:$F$45"))),0)))&lt;&gt;0,INDEX(INDIRECT("'"&amp;$B34&amp;"'!$A$29:$G$45"),MAX((IFERROR((ROW(INDIRECT("'"&amp;$B34&amp;"'!$F$29:$F$45"))-ROW(INDIRECT("'"&amp;$B34&amp;"'!$F$29"))+1)/--(IF(INDIRECT("'"&amp;$B34&amp;"'!$F$29:$F$45")&lt;&gt;"",1,0)),0))-(IFERROR((ROW(INDIRECT("'"&amp;$B34&amp;"'!$F$29:$F$45"))-ROW(INDIRECT("'"&amp;$B34&amp;"'!$F$29"))+1)/--(FIND("VERIFICACIÓN: ", INDIRECT("'"&amp;$B34&amp;"'!$F$29:$F$45"))),0))),6),"NO DISPONIBLE"),IF(MAX(IFERROR((_xlfn._xlws.FILTER((ROW(INDIRECT("'"&amp;$B34&amp;"'!$E$29:$E$45"))-ROW(INDIRECT("'"&amp;$B34&amp;"'!$E$29"))+1)/--(IF(INDIRECT("'"&amp;$B34&amp;"'!$E$29:$E$45")&lt;&gt;"",1,0)), NOT(ISNUMBER(MATCH((ROW(INDIRECT("'"&amp;$B34&amp;"'!$E$29:$E$45"))-ROW(INDIRECT("'"&amp;$B34&amp;"'!$E$29"))+1)/--(IF(INDIRECT("'"&amp;$B34&amp;"'!$E$29:$E$45")&lt;&gt;"",1,0)), (ROW(INDIRECT("'"&amp;$B34&amp;"'!$E$29:$E$45"))-ROW(INDIRECT("'"&amp;$B34&amp;"'!$E$29"))+1)/--(FIND("VERIFICACIÓN: ", INDIRECT("'"&amp;$B34&amp;"'!$E$29:$E$45"))), 0))))),0))&lt;&gt;0,INDEX(INDIRECT("'"&amp;$B34&amp;"'!$A$29:$G$45"),MAX((IFERROR((ROW(INDIRECT("'"&amp;$B34&amp;"'!$E$29:$E$45"))-ROW(INDIRECT("'"&amp;$B34&amp;"'!$E$29"))+1)/--(IF(INDIRECT("'"&amp;$B34&amp;"'!$E$29:$E$45")&lt;&gt;"",1,0)),0))-(IFERROR((ROW(INDIRECT("'"&amp;$B34&amp;"'!$E$29:$E$45"))-ROW(INDIRECT("'"&amp;$B34&amp;"'!$E$29"))+1)/--(FIND("VERIFICACIÓN: ", INDIRECT("'"&amp;$B34&amp;"'!$E$29:$E$45"))),0))),5),"NO DISPONIBLE"))</f>
        <v>LT-5320-23  / INMET</v>
      </c>
      <c r="U34" s="3" t="s">
        <v>69</v>
      </c>
      <c r="V34" s="5" cm="1">
        <f t="array" aca="1" ref="V34" ca="1">IF((IFERROR(VLOOKUP(IFERROR(LOOKUP(2,1/((INDIRECT("'"&amp;$B34&amp;"'!$F$29:$F$45"))&lt;&gt;""),(INDIRECT("'"&amp;$B34&amp;"'!$F$29:$F$45"))),"NO DISPONIBLE"),CHOOSE({1,2},(INDIRECT("'"&amp;$B34&amp;"'!$F$29:$F$45")),(INDIRECT("'"&amp;$B34&amp;"'!$A$29:$A$45"))),2,0),0))&gt;(IFERROR(VLOOKUP(IFERROR(LOOKUP(2,1/((INDIRECT("'"&amp;$B34&amp;"'!$E$29:$E$45"))&lt;&gt;""),(INDIRECT("'"&amp;$B34&amp;"'!$E$29:$E$45"))),"NO DISPONIBLE"),CHOOSE({1,2},(INDIRECT("'"&amp;$B34&amp;"'!$E$29:$E$45")),(INDIRECT("'"&amp;$B34&amp;"'!$A$29:$A$45"))),2,0),0)),(IFERROR(VLOOKUP(IFERROR(LOOKUP(2,1/((INDIRECT("'"&amp;$B34&amp;"'!$F$29:$F$45"))&lt;&gt;""),(INDIRECT("'"&amp;$B34&amp;"'!$F$29:$F$45"))),"NO DISPONIBLE"),CHOOSE({1,2},(INDIRECT("'"&amp;$B34&amp;"'!$F$29:$F$45")),(INDIRECT("'"&amp;$B34&amp;"'!$A$29:$A$45"))),2,0),0)),(IFERROR(VLOOKUP(IFERROR(LOOKUP(2,1/((INDIRECT("'"&amp;$B34&amp;"'!$E$29:$E$45"))&lt;&gt;""),(INDIRECT("'"&amp;$B34&amp;"'!$E$29:$E$45"))),"NO DISPONIBLE"),CHOOSE({1,2},(INDIRECT("'"&amp;$B34&amp;"'!$E$29:$E$45")),(INDIRECT("'"&amp;$B34&amp;"'!$A$29:$A$45"))),2,0),0)))</f>
        <v>45155</v>
      </c>
      <c r="W34" s="6" t="s">
        <v>70</v>
      </c>
      <c r="X34" s="7" t="str" cm="1">
        <f t="array" aca="1" ref="X34" ca="1">IF((IFERROR(VLOOKUP(IFERROR(LOOKUP(2,1/((INDIRECT("'"&amp;$B34&amp;"'!$E$29:$E$45"))&lt;&gt;""),(INDIRECT("'"&amp;$B34&amp;"'!$E$29:$E$45"))),"NO DISPONIBLE"),CHOOSE({1,2},(INDIRECT("'"&amp;$B34&amp;"'!$E$29:$E$45")),(INDIRECT("'"&amp;$B34&amp;"'!$A$29:$A$45"))),2,0),0))&gt;(IFERROR(VLOOKUP(IFERROR(LOOKUP(2,1/((INDIRECT("'"&amp;$B34&amp;"'!$F$29:$F$45"))&lt;&gt;""),(INDIRECT("'"&amp;$B34&amp;"'!$F$29:$F$45"))),"NO DISPONIBLE"),CHOOSE({1,2},(INDIRECT("'"&amp;$B34&amp;"'!$F$29:$F$45")),(INDIRECT("'"&amp;$B34&amp;"'!$A$29:$A$45"))),2,0),0)),IFERROR(LOOKUP(2,1/((INDIRECT("'"&amp;$B34&amp;"'!$E$29:$E$45"))&lt;&gt;""),(INDIRECT("'"&amp;$B34&amp;"'!$E$29:$E$45"))),"NO DISPONIBLE"),IFERROR(LOOKUP(2,1/((INDIRECT("'"&amp;$B34&amp;"'!$F$29:$F$45"))&lt;&gt;""),(INDIRECT("'"&amp;$B34&amp;"'!$F$29:$F$45"))),"NO DISPONIBLE"))</f>
        <v>LT-5320-23  / INMET</v>
      </c>
      <c r="Y34" s="3" t="s">
        <v>69</v>
      </c>
      <c r="Z34" s="5" cm="1">
        <f t="array" aca="1" ref="Z34" ca="1">IF((IFERROR(VLOOKUP(IFERROR(LOOKUP(2,1/((INDIRECT("'"&amp;$B34&amp;"'!$D$29:$D$45"))&lt;&gt;""),(INDIRECT("'"&amp;$B34&amp;"'!$D$29:$D$45"))),"NO DISPONIBLE"),CHOOSE({1,2},(INDIRECT("'"&amp;$B34&amp;"'!$D$29:$D$45")),(INDIRECT("'"&amp;$B34&amp;"'!$A$29:$A$45"))),2,0),0))&gt;(IFERROR(VLOOKUP(IFERROR(LOOKUP(2,1/((INDIRECT("'"&amp;$B34&amp;"'!$C$29:$C$45"))&lt;&gt;""),(INDIRECT("'"&amp;$B34&amp;"'!$C$29:$C$45"))),"NO DISPONIBLE"),CHOOSE({1,2},(INDIRECT("'"&amp;$B34&amp;"'!$C$29:$C$45")),(INDIRECT("'"&amp;$B34&amp;"'!$A$29:$A$45"))),2,0),0)),(IFERROR(VLOOKUP(IFERROR(LOOKUP(2,1/((INDIRECT("'"&amp;$B34&amp;"'!$D$29:$D$45"))&lt;&gt;""),(INDIRECT("'"&amp;$B34&amp;"'!$D$29:$D$45"))),"NO DISPONIBLE"),CHOOSE({1,2},(INDIRECT("'"&amp;$B34&amp;"'!$D$29:$D$45")),(INDIRECT("'"&amp;$B34&amp;"'!$A$29:$A$45"))),2,0),0)),(IFERROR(VLOOKUP(IFERROR(LOOKUP(2,1/((INDIRECT("'"&amp;$B34&amp;"'!$C$29:$C$45"))&lt;&gt;""),(INDIRECT("'"&amp;$B34&amp;"'!$C$29:$C$45"))),"NO DISPONIBLE"),CHOOSE({1,2},(INDIRECT("'"&amp;$B34&amp;"'!$C$29:$C$45")),(INDIRECT("'"&amp;$B34&amp;"'!$A$29:$A$45"))),2,0),0)))</f>
        <v>45155</v>
      </c>
      <c r="AA34" s="6" t="s">
        <v>70</v>
      </c>
      <c r="AB34" s="7" t="str" cm="1">
        <f t="array" aca="1" ref="AB34" ca="1">IF((IFERROR(VLOOKUP(IFERROR(LOOKUP(2,1/((INDIRECT("'"&amp;$B34&amp;"'!$C$29:$C$45"))&lt;&gt;""),(INDIRECT("'"&amp;$B34&amp;"'!$C$29:$C$45"))),"NO DISPONIBLE"),CHOOSE({1,2},(INDIRECT("'"&amp;$B34&amp;"'!$C$29:$C$45")),(INDIRECT("'"&amp;$B34&amp;"'!$A$29:$A$45"))),2,0),0))&gt;(IFERROR(VLOOKUP(IFERROR(LOOKUP(2,1/((INDIRECT("'"&amp;$B34&amp;"'!$D$29:$D$45"))&lt;&gt;""),(INDIRECT("'"&amp;$B34&amp;"'!$D$29:$D$45"))),"NO DISPONIBLE"),CHOOSE({1,2},(INDIRECT("'"&amp;$B34&amp;"'!$D$29:$D$45")),(INDIRECT("'"&amp;$B34&amp;"'!$A$29:$A$45"))),2,0),0)),IFERROR(LOOKUP(2,1/((INDIRECT("'"&amp;$B34&amp;"'!$C$29:$C$45"))&lt;&gt;""),(INDIRECT("'"&amp;$B34&amp;"'!$C$29:$C$45"))),"NO DISPONIBLE"),IFERROR(LOOKUP(2,1/((INDIRECT("'"&amp;$B34&amp;"'!$D$29:$D$45"))&lt;&gt;""),(INDIRECT("'"&amp;$B34&amp;"'!$D$29:$D$45"))),"NO DISPONIBLE"))</f>
        <v>LT-5320-23  / INMET</v>
      </c>
      <c r="AC34" s="6" t="s">
        <v>82</v>
      </c>
      <c r="AD34" s="8"/>
    </row>
    <row r="35" spans="1:30" x14ac:dyDescent="0.3">
      <c r="A35" s="2" t="s">
        <v>50</v>
      </c>
      <c r="B35" s="2" t="str" cm="1">
        <f t="array" aca="1" ref="B35" ca="1">INDIRECT("'"&amp;$B35&amp;"'!$A$6")</f>
        <v>TERMOMETRO PUNZON</v>
      </c>
      <c r="C35" s="3" t="str" cm="1">
        <f t="array" aca="1" ref="C35" ca="1">INDIRECT("'"&amp;$B35&amp;"'!$G$14")</f>
        <v>DELTATRACK</v>
      </c>
      <c r="D35" s="3" cm="1">
        <f t="array" aca="1" ref="D35" ca="1">INDIRECT("'"&amp;$B35&amp;"'!$G$15")</f>
        <v>11050</v>
      </c>
      <c r="E35" s="24" t="str" cm="1">
        <f t="array" aca="1" ref="E35" ca="1">INDIRECT("'"&amp;$B35&amp;"'!$G$16")</f>
        <v>20C1</v>
      </c>
      <c r="F35" s="3" t="s">
        <v>66</v>
      </c>
      <c r="G35" s="3" t="s">
        <v>67</v>
      </c>
      <c r="H35" s="3" t="str" cm="1">
        <f t="array" aca="1" ref="H35" ca="1">INDIRECT("'"&amp;$B35&amp;"'!$G$11")</f>
        <v>TEMPERATURA</v>
      </c>
      <c r="I35" s="3" t="str" cm="1">
        <f t="array" aca="1" ref="I35" ca="1">INDIRECT("'"&amp;$B35&amp;"'!$C$11")</f>
        <v>MEDIA</v>
      </c>
      <c r="J35" s="3" t="str" cm="1">
        <f t="array" aca="1" ref="J35" ca="1">INDIRECT("'"&amp;$B35&amp;"'!$G$21")</f>
        <v>155 °C</v>
      </c>
      <c r="K35" s="3" t="str" cm="1">
        <f t="array" aca="1" ref="K35" ca="1">INDIRECT("'"&amp;$B35&amp;"'!$G$22")</f>
        <v>-40 °C</v>
      </c>
      <c r="L35" s="3" t="str" cm="1">
        <f t="array" aca="1" ref="L35" ca="1">INDIRECT("'"&amp;$B35&amp;"'!$G$23")</f>
        <v>N/A</v>
      </c>
      <c r="M35" s="4"/>
      <c r="N35" s="3" t="str" cm="1">
        <f t="array" aca="1" ref="N35" ca="1">INDIRECT("'"&amp;$B35&amp;"'!$G$22")</f>
        <v>-40 °C</v>
      </c>
      <c r="O35" s="3"/>
      <c r="P35" s="7" t="str" cm="1">
        <f t="array" aca="1" ref="P35" ca="1">IFERROR(LOOKUP(2,1/((INDIRECT("'"&amp;$B35&amp;"'!$G$29:$G$45"))&lt;&gt;""),(INDIRECT("'"&amp;$B35&amp;"'!$G$29:$G$45"))),"NO DISPONIBLE")</f>
        <v>FUNCIONAL</v>
      </c>
      <c r="Q35" s="3" t="s">
        <v>69</v>
      </c>
      <c r="R35" s="5" cm="1">
        <f t="array" aca="1" ref="R35" ca="1">IF(IF(MAX((IFERROR((ROW(INDIRECT("'"&amp;$B35&amp;"'!$F$29:$F$45"))-ROW(INDIRECT("'"&amp;$B35&amp;"'!$F$29"))+1)/--(IF(INDIRECT("'"&amp;$B35&amp;"'!$F$29:$F$45")&lt;&gt;"",1,0)),0))-(IFERROR((ROW(INDIRECT("'"&amp;$B35&amp;"'!$F$29:$F$45"))-ROW(INDIRECT("'"&amp;$B35&amp;"'!$F$29"))+1)/--(FIND("VERIFICACIÓN: ", INDIRECT("'"&amp;$B35&amp;"'!$F$29:$F$45"))),0)))&lt;&gt;0,INDEX(INDIRECT("'"&amp;$B35&amp;"'!$A$29:$G$45"),MAX((IFERROR((ROW(INDIRECT("'"&amp;$B35&amp;"'!$F$29:$F$45"))-ROW(INDIRECT("'"&amp;$B35&amp;"'!$F$29"))+1)/--(IF(INDIRECT("'"&amp;$B35&amp;"'!$F$29:$F$45")&lt;&gt;"",1,0)),0))-(IFERROR((ROW(INDIRECT("'"&amp;$B35&amp;"'!$F$29:$F$45"))-ROW(INDIRECT("'"&amp;$B35&amp;"'!$F$29"))+1)/--(FIND("VERIFICACIÓN: ", INDIRECT("'"&amp;$B35&amp;"'!$F$29:$F$45"))),0))),1),0)&gt;IF(MAX(IFERROR((_xlfn._xlws.FILTER((ROW(INDIRECT("'"&amp;$B35&amp;"'!$E$29:$E$45"))-ROW(INDIRECT("'"&amp;$B35&amp;"'!$E$29"))+1)/--(IF(INDIRECT("'"&amp;$B35&amp;"'!$E$29:$E$45")&lt;&gt;"",1,0)), NOT(ISNUMBER(MATCH((ROW(INDIRECT("'"&amp;$B35&amp;"'!$E$29:$E$45"))-ROW(INDIRECT("'"&amp;$B35&amp;"'!$E$29"))+1)/--(IF(INDIRECT("'"&amp;$B35&amp;"'!$E$29:$E$45")&lt;&gt;"",1,0)), (ROW(INDIRECT("'"&amp;$B35&amp;"'!$E$29:$E$45"))-ROW(INDIRECT("'"&amp;$B35&amp;"'!$E$29"))+1)/--(FIND("VERIFICACIÓN: ", INDIRECT("'"&amp;$B35&amp;"'!$E$29:$E$45"))), 0))))),0))&lt;&gt;0,INDEX(INDIRECT("'"&amp;$B35&amp;"'!$A$29:$G$45"),MAX((IFERROR((ROW(INDIRECT("'"&amp;$B35&amp;"'!$E$29:$E$45"))-ROW(INDIRECT("'"&amp;$B35&amp;"'!$E$29"))+1)/--(IF(INDIRECT("'"&amp;$B35&amp;"'!$E$29:$E$45")&lt;&gt;"",1,0)),0))-(IFERROR((ROW(INDIRECT("'"&amp;$B35&amp;"'!$E$29:$E$45"))-ROW(INDIRECT("'"&amp;$B35&amp;"'!$E$29"))+1)/--(FIND("VERIFICACIÓN: ", INDIRECT("'"&amp;$B35&amp;"'!$E$29:$E$45"))),0))),1),0),IF(MAX((IFERROR((ROW(INDIRECT("'"&amp;$B35&amp;"'!$F$29:$F$45"))-ROW(INDIRECT("'"&amp;$B35&amp;"'!$F$29"))+1)/--(IF(INDIRECT("'"&amp;$B35&amp;"'!$F$29:$F$45")&lt;&gt;"",1,0)),0))-(IFERROR((ROW(INDIRECT("'"&amp;$B35&amp;"'!$F$29:$F$45"))-ROW(INDIRECT("'"&amp;$B35&amp;"'!$F$29"))+1)/--(FIND("VERIFICACIÓN: ", INDIRECT("'"&amp;$B35&amp;"'!$F$29:$F$45"))),0)))&lt;&gt;0,INDEX(INDIRECT("'"&amp;$B35&amp;"'!$A$29:$G$45"),MAX((IFERROR((ROW(INDIRECT("'"&amp;$B35&amp;"'!$F$29:$F$45"))-ROW(INDIRECT("'"&amp;$B35&amp;"'!$F$29"))+1)/--(IF(INDIRECT("'"&amp;$B35&amp;"'!$F$29:$F$45")&lt;&gt;"",1,0)),0))-(IFERROR((ROW(INDIRECT("'"&amp;$B35&amp;"'!$F$29:$F$45"))-ROW(INDIRECT("'"&amp;$B35&amp;"'!$F$29"))+1)/--(FIND("VERIFICACIÓN: ", INDIRECT("'"&amp;$B35&amp;"'!$F$29:$F$45"))),0))),1),0),IF(MAX(IFERROR((_xlfn._xlws.FILTER((ROW(INDIRECT("'"&amp;$B35&amp;"'!$E$29:$E$45"))-ROW(INDIRECT("'"&amp;$B35&amp;"'!$E$29"))+1)/--(IF(INDIRECT("'"&amp;$B35&amp;"'!$E$29:$E$45")&lt;&gt;"",1,0)), NOT(ISNUMBER(MATCH((ROW(INDIRECT("'"&amp;$B35&amp;"'!$E$29:$E$45"))-ROW(INDIRECT("'"&amp;$B35&amp;"'!$E$29"))+1)/--(IF(INDIRECT("'"&amp;$B35&amp;"'!$E$29:$E$45")&lt;&gt;"",1,0)), (ROW(INDIRECT("'"&amp;$B35&amp;"'!$E$29:$E$45"))-ROW(INDIRECT("'"&amp;$B35&amp;"'!$E$29"))+1)/--(FIND("VERIFICACIÓN: ", INDIRECT("'"&amp;$B35&amp;"'!$E$29:$E$45"))), 0))))),0))&lt;&gt;0,INDEX(INDIRECT("'"&amp;$B35&amp;"'!$A$29:$G$45"),MAX((IFERROR((ROW(INDIRECT("'"&amp;$B35&amp;"'!$E$29:$E$45"))-ROW(INDIRECT("'"&amp;$B35&amp;"'!$E$29"))+1)/--(IF(INDIRECT("'"&amp;$B35&amp;"'!$E$29:$E$45")&lt;&gt;"",1,0)),0))-(IFERROR((ROW(INDIRECT("'"&amp;$B35&amp;"'!$E$29:$E$45"))-ROW(INDIRECT("'"&amp;$B35&amp;"'!$E$29"))+1)/--(FIND("VERIFICACIÓN: ", INDIRECT("'"&amp;$B35&amp;"'!$E$29:$E$45"))),0))),1),0))</f>
        <v>45155</v>
      </c>
      <c r="S35" s="6" t="s">
        <v>70</v>
      </c>
      <c r="T35" s="7" t="str" cm="1">
        <f t="array" aca="1" ref="T35" ca="1">IF(IF(MAX((IFERROR((ROW(INDIRECT("'"&amp;$B35&amp;"'!$F$29:$F$45"))-ROW(INDIRECT("'"&amp;$B35&amp;"'!$F$29"))+1)/--(IF(INDIRECT("'"&amp;$B35&amp;"'!$F$29:$F$45")&lt;&gt;"",1,0)),0))-(IFERROR((ROW(INDIRECT("'"&amp;$B35&amp;"'!$F$29:$F$45"))-ROW(INDIRECT("'"&amp;$B35&amp;"'!$F$29"))+1)/--(FIND("VERIFICACIÓN: ", INDIRECT("'"&amp;$B35&amp;"'!$F$29:$F$45"))),0)))&lt;&gt;0,INDEX(INDIRECT("'"&amp;$B35&amp;"'!$A$29:$G$45"),MAX((IFERROR((ROW(INDIRECT("'"&amp;$B35&amp;"'!$F$29:$F$45"))-ROW(INDIRECT("'"&amp;$B35&amp;"'!$F$29"))+1)/--(IF(INDIRECT("'"&amp;$B35&amp;"'!$F$29:$F$45")&lt;&gt;"",1,0)),0))-(IFERROR((ROW(INDIRECT("'"&amp;$B35&amp;"'!$F$29:$F$45"))-ROW(INDIRECT("'"&amp;$B35&amp;"'!$F$29"))+1)/--(FIND("VERIFICACIÓN: ", INDIRECT("'"&amp;$B35&amp;"'!$F$29:$F$45"))),0))),1),0)&gt;IF(MAX(IFERROR((_xlfn._xlws.FILTER((ROW(INDIRECT("'"&amp;$B35&amp;"'!$E$29:$E$45"))-ROW(INDIRECT("'"&amp;$B35&amp;"'!$E$29"))+1)/--(IF(INDIRECT("'"&amp;$B35&amp;"'!$E$29:$E$45")&lt;&gt;"",1,0)), NOT(ISNUMBER(MATCH((ROW(INDIRECT("'"&amp;$B35&amp;"'!$E$29:$E$45"))-ROW(INDIRECT("'"&amp;$B35&amp;"'!$E$29"))+1)/--(IF(INDIRECT("'"&amp;$B35&amp;"'!$E$29:$E$45")&lt;&gt;"",1,0)), (ROW(INDIRECT("'"&amp;$B35&amp;"'!$E$29:$E$45"))-ROW(INDIRECT("'"&amp;$B35&amp;"'!$E$29"))+1)/--(FIND("VERIFICACIÓN: ", INDIRECT("'"&amp;$B35&amp;"'!$E$29:$E$45"))), 0))))),0))&lt;&gt;0,INDEX(INDIRECT("'"&amp;$B35&amp;"'!$A$29:$G$45"),MAX((IFERROR((ROW(INDIRECT("'"&amp;$B35&amp;"'!$E$29:$E$45"))-ROW(INDIRECT("'"&amp;$B35&amp;"'!$E$29"))+1)/--(IF(INDIRECT("'"&amp;$B35&amp;"'!$E$29:$E$45")&lt;&gt;"",1,0)),0))-(IFERROR((ROW(INDIRECT("'"&amp;$B35&amp;"'!$E$29:$E$45"))-ROW(INDIRECT("'"&amp;$B35&amp;"'!$E$29"))+1)/--(FIND("VERIFICACIÓN: ", INDIRECT("'"&amp;$B35&amp;"'!$E$29:$E$45"))),0))),1),0),IF(MAX((IFERROR((ROW(INDIRECT("'"&amp;$B35&amp;"'!$F$29:$F$45"))-ROW(INDIRECT("'"&amp;$B35&amp;"'!$F$29"))+1)/--(IF(INDIRECT("'"&amp;$B35&amp;"'!$F$29:$F$45")&lt;&gt;"",1,0)),0))-(IFERROR((ROW(INDIRECT("'"&amp;$B35&amp;"'!$F$29:$F$45"))-ROW(INDIRECT("'"&amp;$B35&amp;"'!$F$29"))+1)/--(FIND("VERIFICACIÓN: ", INDIRECT("'"&amp;$B35&amp;"'!$F$29:$F$45"))),0)))&lt;&gt;0,INDEX(INDIRECT("'"&amp;$B35&amp;"'!$A$29:$G$45"),MAX((IFERROR((ROW(INDIRECT("'"&amp;$B35&amp;"'!$F$29:$F$45"))-ROW(INDIRECT("'"&amp;$B35&amp;"'!$F$29"))+1)/--(IF(INDIRECT("'"&amp;$B35&amp;"'!$F$29:$F$45")&lt;&gt;"",1,0)),0))-(IFERROR((ROW(INDIRECT("'"&amp;$B35&amp;"'!$F$29:$F$45"))-ROW(INDIRECT("'"&amp;$B35&amp;"'!$F$29"))+1)/--(FIND("VERIFICACIÓN: ", INDIRECT("'"&amp;$B35&amp;"'!$F$29:$F$45"))),0))),6),"NO DISPONIBLE"),IF(MAX(IFERROR((_xlfn._xlws.FILTER((ROW(INDIRECT("'"&amp;$B35&amp;"'!$E$29:$E$45"))-ROW(INDIRECT("'"&amp;$B35&amp;"'!$E$29"))+1)/--(IF(INDIRECT("'"&amp;$B35&amp;"'!$E$29:$E$45")&lt;&gt;"",1,0)), NOT(ISNUMBER(MATCH((ROW(INDIRECT("'"&amp;$B35&amp;"'!$E$29:$E$45"))-ROW(INDIRECT("'"&amp;$B35&amp;"'!$E$29"))+1)/--(IF(INDIRECT("'"&amp;$B35&amp;"'!$E$29:$E$45")&lt;&gt;"",1,0)), (ROW(INDIRECT("'"&amp;$B35&amp;"'!$E$29:$E$45"))-ROW(INDIRECT("'"&amp;$B35&amp;"'!$E$29"))+1)/--(FIND("VERIFICACIÓN: ", INDIRECT("'"&amp;$B35&amp;"'!$E$29:$E$45"))), 0))))),0))&lt;&gt;0,INDEX(INDIRECT("'"&amp;$B35&amp;"'!$A$29:$G$45"),MAX((IFERROR((ROW(INDIRECT("'"&amp;$B35&amp;"'!$E$29:$E$45"))-ROW(INDIRECT("'"&amp;$B35&amp;"'!$E$29"))+1)/--(IF(INDIRECT("'"&amp;$B35&amp;"'!$E$29:$E$45")&lt;&gt;"",1,0)),0))-(IFERROR((ROW(INDIRECT("'"&amp;$B35&amp;"'!$E$29:$E$45"))-ROW(INDIRECT("'"&amp;$B35&amp;"'!$E$29"))+1)/--(FIND("VERIFICACIÓN: ", INDIRECT("'"&amp;$B35&amp;"'!$E$29:$E$45"))),0))),5),"NO DISPONIBLE"))</f>
        <v>LT-5321-23  / INMET</v>
      </c>
      <c r="U35" s="3" t="s">
        <v>69</v>
      </c>
      <c r="V35" s="5" cm="1">
        <f t="array" aca="1" ref="V35" ca="1">IF((IFERROR(VLOOKUP(IFERROR(LOOKUP(2,1/((INDIRECT("'"&amp;$B35&amp;"'!$F$29:$F$45"))&lt;&gt;""),(INDIRECT("'"&amp;$B35&amp;"'!$F$29:$F$45"))),"NO DISPONIBLE"),CHOOSE({1,2},(INDIRECT("'"&amp;$B35&amp;"'!$F$29:$F$45")),(INDIRECT("'"&amp;$B35&amp;"'!$A$29:$A$45"))),2,0),0))&gt;(IFERROR(VLOOKUP(IFERROR(LOOKUP(2,1/((INDIRECT("'"&amp;$B35&amp;"'!$E$29:$E$45"))&lt;&gt;""),(INDIRECT("'"&amp;$B35&amp;"'!$E$29:$E$45"))),"NO DISPONIBLE"),CHOOSE({1,2},(INDIRECT("'"&amp;$B35&amp;"'!$E$29:$E$45")),(INDIRECT("'"&amp;$B35&amp;"'!$A$29:$A$45"))),2,0),0)),(IFERROR(VLOOKUP(IFERROR(LOOKUP(2,1/((INDIRECT("'"&amp;$B35&amp;"'!$F$29:$F$45"))&lt;&gt;""),(INDIRECT("'"&amp;$B35&amp;"'!$F$29:$F$45"))),"NO DISPONIBLE"),CHOOSE({1,2},(INDIRECT("'"&amp;$B35&amp;"'!$F$29:$F$45")),(INDIRECT("'"&amp;$B35&amp;"'!$A$29:$A$45"))),2,0),0)),(IFERROR(VLOOKUP(IFERROR(LOOKUP(2,1/((INDIRECT("'"&amp;$B35&amp;"'!$E$29:$E$45"))&lt;&gt;""),(INDIRECT("'"&amp;$B35&amp;"'!$E$29:$E$45"))),"NO DISPONIBLE"),CHOOSE({1,2},(INDIRECT("'"&amp;$B35&amp;"'!$E$29:$E$45")),(INDIRECT("'"&amp;$B35&amp;"'!$A$29:$A$45"))),2,0),0)))</f>
        <v>45155</v>
      </c>
      <c r="W35" s="6" t="s">
        <v>70</v>
      </c>
      <c r="X35" s="7" t="str" cm="1">
        <f t="array" aca="1" ref="X35" ca="1">IF((IFERROR(VLOOKUP(IFERROR(LOOKUP(2,1/((INDIRECT("'"&amp;$B35&amp;"'!$E$29:$E$45"))&lt;&gt;""),(INDIRECT("'"&amp;$B35&amp;"'!$E$29:$E$45"))),"NO DISPONIBLE"),CHOOSE({1,2},(INDIRECT("'"&amp;$B35&amp;"'!$E$29:$E$45")),(INDIRECT("'"&amp;$B35&amp;"'!$A$29:$A$45"))),2,0),0))&gt;(IFERROR(VLOOKUP(IFERROR(LOOKUP(2,1/((INDIRECT("'"&amp;$B35&amp;"'!$F$29:$F$45"))&lt;&gt;""),(INDIRECT("'"&amp;$B35&amp;"'!$F$29:$F$45"))),"NO DISPONIBLE"),CHOOSE({1,2},(INDIRECT("'"&amp;$B35&amp;"'!$F$29:$F$45")),(INDIRECT("'"&amp;$B35&amp;"'!$A$29:$A$45"))),2,0),0)),IFERROR(LOOKUP(2,1/((INDIRECT("'"&amp;$B35&amp;"'!$E$29:$E$45"))&lt;&gt;""),(INDIRECT("'"&amp;$B35&amp;"'!$E$29:$E$45"))),"NO DISPONIBLE"),IFERROR(LOOKUP(2,1/((INDIRECT("'"&amp;$B35&amp;"'!$F$29:$F$45"))&lt;&gt;""),(INDIRECT("'"&amp;$B35&amp;"'!$F$29:$F$45"))),"NO DISPONIBLE"))</f>
        <v>LT-5321-23  / INMET</v>
      </c>
      <c r="Y35" s="3" t="s">
        <v>69</v>
      </c>
      <c r="Z35" s="5" cm="1">
        <f t="array" aca="1" ref="Z35" ca="1">IF((IFERROR(VLOOKUP(IFERROR(LOOKUP(2,1/((INDIRECT("'"&amp;$B35&amp;"'!$D$29:$D$45"))&lt;&gt;""),(INDIRECT("'"&amp;$B35&amp;"'!$D$29:$D$45"))),"NO DISPONIBLE"),CHOOSE({1,2},(INDIRECT("'"&amp;$B35&amp;"'!$D$29:$D$45")),(INDIRECT("'"&amp;$B35&amp;"'!$A$29:$A$45"))),2,0),0))&gt;(IFERROR(VLOOKUP(IFERROR(LOOKUP(2,1/((INDIRECT("'"&amp;$B35&amp;"'!$C$29:$C$45"))&lt;&gt;""),(INDIRECT("'"&amp;$B35&amp;"'!$C$29:$C$45"))),"NO DISPONIBLE"),CHOOSE({1,2},(INDIRECT("'"&amp;$B35&amp;"'!$C$29:$C$45")),(INDIRECT("'"&amp;$B35&amp;"'!$A$29:$A$45"))),2,0),0)),(IFERROR(VLOOKUP(IFERROR(LOOKUP(2,1/((INDIRECT("'"&amp;$B35&amp;"'!$D$29:$D$45"))&lt;&gt;""),(INDIRECT("'"&amp;$B35&amp;"'!$D$29:$D$45"))),"NO DISPONIBLE"),CHOOSE({1,2},(INDIRECT("'"&amp;$B35&amp;"'!$D$29:$D$45")),(INDIRECT("'"&amp;$B35&amp;"'!$A$29:$A$45"))),2,0),0)),(IFERROR(VLOOKUP(IFERROR(LOOKUP(2,1/((INDIRECT("'"&amp;$B35&amp;"'!$C$29:$C$45"))&lt;&gt;""),(INDIRECT("'"&amp;$B35&amp;"'!$C$29:$C$45"))),"NO DISPONIBLE"),CHOOSE({1,2},(INDIRECT("'"&amp;$B35&amp;"'!$C$29:$C$45")),(INDIRECT("'"&amp;$B35&amp;"'!$A$29:$A$45"))),2,0),0)))</f>
        <v>45155</v>
      </c>
      <c r="AA35" s="6" t="s">
        <v>70</v>
      </c>
      <c r="AB35" s="7" t="str" cm="1">
        <f t="array" aca="1" ref="AB35" ca="1">IF((IFERROR(VLOOKUP(IFERROR(LOOKUP(2,1/((INDIRECT("'"&amp;$B35&amp;"'!$C$29:$C$45"))&lt;&gt;""),(INDIRECT("'"&amp;$B35&amp;"'!$C$29:$C$45"))),"NO DISPONIBLE"),CHOOSE({1,2},(INDIRECT("'"&amp;$B35&amp;"'!$C$29:$C$45")),(INDIRECT("'"&amp;$B35&amp;"'!$A$29:$A$45"))),2,0),0))&gt;(IFERROR(VLOOKUP(IFERROR(LOOKUP(2,1/((INDIRECT("'"&amp;$B35&amp;"'!$D$29:$D$45"))&lt;&gt;""),(INDIRECT("'"&amp;$B35&amp;"'!$D$29:$D$45"))),"NO DISPONIBLE"),CHOOSE({1,2},(INDIRECT("'"&amp;$B35&amp;"'!$D$29:$D$45")),(INDIRECT("'"&amp;$B35&amp;"'!$A$29:$A$45"))),2,0),0)),IFERROR(LOOKUP(2,1/((INDIRECT("'"&amp;$B35&amp;"'!$C$29:$C$45"))&lt;&gt;""),(INDIRECT("'"&amp;$B35&amp;"'!$C$29:$C$45"))),"NO DISPONIBLE"),IFERROR(LOOKUP(2,1/((INDIRECT("'"&amp;$B35&amp;"'!$D$29:$D$45"))&lt;&gt;""),(INDIRECT("'"&amp;$B35&amp;"'!$D$29:$D$45"))),"NO DISPONIBLE"))</f>
        <v>LT-5321-23  / INMET</v>
      </c>
      <c r="AC35" s="6" t="s">
        <v>82</v>
      </c>
      <c r="AD35" s="8"/>
    </row>
    <row r="36" spans="1:30" x14ac:dyDescent="0.3">
      <c r="A36" s="2" t="s">
        <v>51</v>
      </c>
      <c r="B36" s="2" t="str" cm="1">
        <f t="array" aca="1" ref="B36" ca="1">INDIRECT("'"&amp;$B36&amp;"'!$A$6")</f>
        <v>CALIBRADOR CUERPO NEGRO</v>
      </c>
      <c r="C36" s="3" t="str" cm="1">
        <f t="array" aca="1" ref="C36" ca="1">INDIRECT("'"&amp;$B36&amp;"'!$G$14")</f>
        <v>CEM</v>
      </c>
      <c r="D36" s="3" t="str" cm="1">
        <f t="array" aca="1" ref="D36" ca="1">INDIRECT("'"&amp;$B36&amp;"'!$G$15")</f>
        <v>BX-500</v>
      </c>
      <c r="E36" s="24" t="str" cm="1">
        <f t="array" aca="1" ref="E36" ca="1">INDIRECT("'"&amp;$B36&amp;"'!$G$16")</f>
        <v>B94946/3704</v>
      </c>
      <c r="F36" s="3" t="s">
        <v>66</v>
      </c>
      <c r="G36" s="3" t="s">
        <v>67</v>
      </c>
      <c r="H36" s="3" t="str" cm="1">
        <f t="array" aca="1" ref="H36" ca="1">INDIRECT("'"&amp;$B36&amp;"'!$G$11")</f>
        <v>TEMPERATURA</v>
      </c>
      <c r="I36" s="3" t="str" cm="1">
        <f t="array" aca="1" ref="I36" ca="1">INDIRECT("'"&amp;$B36&amp;"'!$C$11")</f>
        <v>MEDIA</v>
      </c>
      <c r="J36" s="3" t="str" cm="1">
        <f t="array" aca="1" ref="J36" ca="1">INDIRECT("'"&amp;$B36&amp;"'!$G$21")</f>
        <v>500°C</v>
      </c>
      <c r="K36" s="3" t="str" cm="1">
        <f t="array" aca="1" ref="K36" ca="1">INDIRECT("'"&amp;$B36&amp;"'!$G$22")</f>
        <v>50°C</v>
      </c>
      <c r="L36" s="3" t="str" cm="1">
        <f t="array" aca="1" ref="L36" ca="1">INDIRECT("'"&amp;$B36&amp;"'!$G$23")</f>
        <v>0.1°C</v>
      </c>
      <c r="M36" s="4"/>
      <c r="N36" s="3" t="str" cm="1">
        <f t="array" aca="1" ref="N36" ca="1">INDIRECT("'"&amp;$B36&amp;"'!$G$22")</f>
        <v>50°C</v>
      </c>
      <c r="O36" s="3"/>
      <c r="P36" s="7" t="str" cm="1">
        <f t="array" aca="1" ref="P36" ca="1">IFERROR(LOOKUP(2,1/((INDIRECT("'"&amp;$B36&amp;"'!$G$29:$G$45"))&lt;&gt;""),(INDIRECT("'"&amp;$B36&amp;"'!$G$29:$G$45"))),"NO DISPONIBLE")</f>
        <v>FUNCIONAL</v>
      </c>
      <c r="Q36" s="3">
        <v>36</v>
      </c>
      <c r="R36" s="5" cm="1">
        <f t="array" aca="1" ref="R36" ca="1">IF(IF(MAX((IFERROR((ROW(INDIRECT("'"&amp;$B36&amp;"'!$F$29:$F$45"))-ROW(INDIRECT("'"&amp;$B36&amp;"'!$F$29"))+1)/--(IF(INDIRECT("'"&amp;$B36&amp;"'!$F$29:$F$45")&lt;&gt;"",1,0)),0))-(IFERROR((ROW(INDIRECT("'"&amp;$B36&amp;"'!$F$29:$F$45"))-ROW(INDIRECT("'"&amp;$B36&amp;"'!$F$29"))+1)/--(FIND("VERIFICACIÓN: ", INDIRECT("'"&amp;$B36&amp;"'!$F$29:$F$45"))),0)))&lt;&gt;0,INDEX(INDIRECT("'"&amp;$B36&amp;"'!$A$29:$G$45"),MAX((IFERROR((ROW(INDIRECT("'"&amp;$B36&amp;"'!$F$29:$F$45"))-ROW(INDIRECT("'"&amp;$B36&amp;"'!$F$29"))+1)/--(IF(INDIRECT("'"&amp;$B36&amp;"'!$F$29:$F$45")&lt;&gt;"",1,0)),0))-(IFERROR((ROW(INDIRECT("'"&amp;$B36&amp;"'!$F$29:$F$45"))-ROW(INDIRECT("'"&amp;$B36&amp;"'!$F$29"))+1)/--(FIND("VERIFICACIÓN: ", INDIRECT("'"&amp;$B36&amp;"'!$F$29:$F$45"))),0))),1),0)&gt;IF(MAX(IFERROR((_xlfn._xlws.FILTER((ROW(INDIRECT("'"&amp;$B36&amp;"'!$E$29:$E$45"))-ROW(INDIRECT("'"&amp;$B36&amp;"'!$E$29"))+1)/--(IF(INDIRECT("'"&amp;$B36&amp;"'!$E$29:$E$45")&lt;&gt;"",1,0)), NOT(ISNUMBER(MATCH((ROW(INDIRECT("'"&amp;$B36&amp;"'!$E$29:$E$45"))-ROW(INDIRECT("'"&amp;$B36&amp;"'!$E$29"))+1)/--(IF(INDIRECT("'"&amp;$B36&amp;"'!$E$29:$E$45")&lt;&gt;"",1,0)), (ROW(INDIRECT("'"&amp;$B36&amp;"'!$E$29:$E$45"))-ROW(INDIRECT("'"&amp;$B36&amp;"'!$E$29"))+1)/--(FIND("VERIFICACIÓN: ", INDIRECT("'"&amp;$B36&amp;"'!$E$29:$E$45"))), 0))))),0))&lt;&gt;0,INDEX(INDIRECT("'"&amp;$B36&amp;"'!$A$29:$G$45"),MAX((IFERROR((ROW(INDIRECT("'"&amp;$B36&amp;"'!$E$29:$E$45"))-ROW(INDIRECT("'"&amp;$B36&amp;"'!$E$29"))+1)/--(IF(INDIRECT("'"&amp;$B36&amp;"'!$E$29:$E$45")&lt;&gt;"",1,0)),0))-(IFERROR((ROW(INDIRECT("'"&amp;$B36&amp;"'!$E$29:$E$45"))-ROW(INDIRECT("'"&amp;$B36&amp;"'!$E$29"))+1)/--(FIND("VERIFICACIÓN: ", INDIRECT("'"&amp;$B36&amp;"'!$E$29:$E$45"))),0))),1),0),IF(MAX((IFERROR((ROW(INDIRECT("'"&amp;$B36&amp;"'!$F$29:$F$45"))-ROW(INDIRECT("'"&amp;$B36&amp;"'!$F$29"))+1)/--(IF(INDIRECT("'"&amp;$B36&amp;"'!$F$29:$F$45")&lt;&gt;"",1,0)),0))-(IFERROR((ROW(INDIRECT("'"&amp;$B36&amp;"'!$F$29:$F$45"))-ROW(INDIRECT("'"&amp;$B36&amp;"'!$F$29"))+1)/--(FIND("VERIFICACIÓN: ", INDIRECT("'"&amp;$B36&amp;"'!$F$29:$F$45"))),0)))&lt;&gt;0,INDEX(INDIRECT("'"&amp;$B36&amp;"'!$A$29:$G$45"),MAX((IFERROR((ROW(INDIRECT("'"&amp;$B36&amp;"'!$F$29:$F$45"))-ROW(INDIRECT("'"&amp;$B36&amp;"'!$F$29"))+1)/--(IF(INDIRECT("'"&amp;$B36&amp;"'!$F$29:$F$45")&lt;&gt;"",1,0)),0))-(IFERROR((ROW(INDIRECT("'"&amp;$B36&amp;"'!$F$29:$F$45"))-ROW(INDIRECT("'"&amp;$B36&amp;"'!$F$29"))+1)/--(FIND("VERIFICACIÓN: ", INDIRECT("'"&amp;$B36&amp;"'!$F$29:$F$45"))),0))),1),0),IF(MAX(IFERROR((_xlfn._xlws.FILTER((ROW(INDIRECT("'"&amp;$B36&amp;"'!$E$29:$E$45"))-ROW(INDIRECT("'"&amp;$B36&amp;"'!$E$29"))+1)/--(IF(INDIRECT("'"&amp;$B36&amp;"'!$E$29:$E$45")&lt;&gt;"",1,0)), NOT(ISNUMBER(MATCH((ROW(INDIRECT("'"&amp;$B36&amp;"'!$E$29:$E$45"))-ROW(INDIRECT("'"&amp;$B36&amp;"'!$E$29"))+1)/--(IF(INDIRECT("'"&amp;$B36&amp;"'!$E$29:$E$45")&lt;&gt;"",1,0)), (ROW(INDIRECT("'"&amp;$B36&amp;"'!$E$29:$E$45"))-ROW(INDIRECT("'"&amp;$B36&amp;"'!$E$29"))+1)/--(FIND("VERIFICACIÓN: ", INDIRECT("'"&amp;$B36&amp;"'!$E$29:$E$45"))), 0))))),0))&lt;&gt;0,INDEX(INDIRECT("'"&amp;$B36&amp;"'!$A$29:$G$45"),MAX((IFERROR((ROW(INDIRECT("'"&amp;$B36&amp;"'!$E$29:$E$45"))-ROW(INDIRECT("'"&amp;$B36&amp;"'!$E$29"))+1)/--(IF(INDIRECT("'"&amp;$B36&amp;"'!$E$29:$E$45")&lt;&gt;"",1,0)),0))-(IFERROR((ROW(INDIRECT("'"&amp;$B36&amp;"'!$E$29:$E$45"))-ROW(INDIRECT("'"&amp;$B36&amp;"'!$E$29"))+1)/--(FIND("VERIFICACIÓN: ", INDIRECT("'"&amp;$B36&amp;"'!$E$29:$E$45"))),0))),1),0))</f>
        <v>45145</v>
      </c>
      <c r="S36" s="6" t="s">
        <v>68</v>
      </c>
      <c r="T36" s="7" t="str" cm="1">
        <f t="array" aca="1" ref="T36" ca="1">IF(IF(MAX((IFERROR((ROW(INDIRECT("'"&amp;$B36&amp;"'!$F$29:$F$45"))-ROW(INDIRECT("'"&amp;$B36&amp;"'!$F$29"))+1)/--(IF(INDIRECT("'"&amp;$B36&amp;"'!$F$29:$F$45")&lt;&gt;"",1,0)),0))-(IFERROR((ROW(INDIRECT("'"&amp;$B36&amp;"'!$F$29:$F$45"))-ROW(INDIRECT("'"&amp;$B36&amp;"'!$F$29"))+1)/--(FIND("VERIFICACIÓN: ", INDIRECT("'"&amp;$B36&amp;"'!$F$29:$F$45"))),0)))&lt;&gt;0,INDEX(INDIRECT("'"&amp;$B36&amp;"'!$A$29:$G$45"),MAX((IFERROR((ROW(INDIRECT("'"&amp;$B36&amp;"'!$F$29:$F$45"))-ROW(INDIRECT("'"&amp;$B36&amp;"'!$F$29"))+1)/--(IF(INDIRECT("'"&amp;$B36&amp;"'!$F$29:$F$45")&lt;&gt;"",1,0)),0))-(IFERROR((ROW(INDIRECT("'"&amp;$B36&amp;"'!$F$29:$F$45"))-ROW(INDIRECT("'"&amp;$B36&amp;"'!$F$29"))+1)/--(FIND("VERIFICACIÓN: ", INDIRECT("'"&amp;$B36&amp;"'!$F$29:$F$45"))),0))),1),0)&gt;IF(MAX(IFERROR((_xlfn._xlws.FILTER((ROW(INDIRECT("'"&amp;$B36&amp;"'!$E$29:$E$45"))-ROW(INDIRECT("'"&amp;$B36&amp;"'!$E$29"))+1)/--(IF(INDIRECT("'"&amp;$B36&amp;"'!$E$29:$E$45")&lt;&gt;"",1,0)), NOT(ISNUMBER(MATCH((ROW(INDIRECT("'"&amp;$B36&amp;"'!$E$29:$E$45"))-ROW(INDIRECT("'"&amp;$B36&amp;"'!$E$29"))+1)/--(IF(INDIRECT("'"&amp;$B36&amp;"'!$E$29:$E$45")&lt;&gt;"",1,0)), (ROW(INDIRECT("'"&amp;$B36&amp;"'!$E$29:$E$45"))-ROW(INDIRECT("'"&amp;$B36&amp;"'!$E$29"))+1)/--(FIND("VERIFICACIÓN: ", INDIRECT("'"&amp;$B36&amp;"'!$E$29:$E$45"))), 0))))),0))&lt;&gt;0,INDEX(INDIRECT("'"&amp;$B36&amp;"'!$A$29:$G$45"),MAX((IFERROR((ROW(INDIRECT("'"&amp;$B36&amp;"'!$E$29:$E$45"))-ROW(INDIRECT("'"&amp;$B36&amp;"'!$E$29"))+1)/--(IF(INDIRECT("'"&amp;$B36&amp;"'!$E$29:$E$45")&lt;&gt;"",1,0)),0))-(IFERROR((ROW(INDIRECT("'"&amp;$B36&amp;"'!$E$29:$E$45"))-ROW(INDIRECT("'"&amp;$B36&amp;"'!$E$29"))+1)/--(FIND("VERIFICACIÓN: ", INDIRECT("'"&amp;$B36&amp;"'!$E$29:$E$45"))),0))),1),0),IF(MAX((IFERROR((ROW(INDIRECT("'"&amp;$B36&amp;"'!$F$29:$F$45"))-ROW(INDIRECT("'"&amp;$B36&amp;"'!$F$29"))+1)/--(IF(INDIRECT("'"&amp;$B36&amp;"'!$F$29:$F$45")&lt;&gt;"",1,0)),0))-(IFERROR((ROW(INDIRECT("'"&amp;$B36&amp;"'!$F$29:$F$45"))-ROW(INDIRECT("'"&amp;$B36&amp;"'!$F$29"))+1)/--(FIND("VERIFICACIÓN: ", INDIRECT("'"&amp;$B36&amp;"'!$F$29:$F$45"))),0)))&lt;&gt;0,INDEX(INDIRECT("'"&amp;$B36&amp;"'!$A$29:$G$45"),MAX((IFERROR((ROW(INDIRECT("'"&amp;$B36&amp;"'!$F$29:$F$45"))-ROW(INDIRECT("'"&amp;$B36&amp;"'!$F$29"))+1)/--(IF(INDIRECT("'"&amp;$B36&amp;"'!$F$29:$F$45")&lt;&gt;"",1,0)),0))-(IFERROR((ROW(INDIRECT("'"&amp;$B36&amp;"'!$F$29:$F$45"))-ROW(INDIRECT("'"&amp;$B36&amp;"'!$F$29"))+1)/--(FIND("VERIFICACIÓN: ", INDIRECT("'"&amp;$B36&amp;"'!$F$29:$F$45"))),0))),6),"NO DISPONIBLE"),IF(MAX(IFERROR((_xlfn._xlws.FILTER((ROW(INDIRECT("'"&amp;$B36&amp;"'!$E$29:$E$45"))-ROW(INDIRECT("'"&amp;$B36&amp;"'!$E$29"))+1)/--(IF(INDIRECT("'"&amp;$B36&amp;"'!$E$29:$E$45")&lt;&gt;"",1,0)), NOT(ISNUMBER(MATCH((ROW(INDIRECT("'"&amp;$B36&amp;"'!$E$29:$E$45"))-ROW(INDIRECT("'"&amp;$B36&amp;"'!$E$29"))+1)/--(IF(INDIRECT("'"&amp;$B36&amp;"'!$E$29:$E$45")&lt;&gt;"",1,0)), (ROW(INDIRECT("'"&amp;$B36&amp;"'!$E$29:$E$45"))-ROW(INDIRECT("'"&amp;$B36&amp;"'!$E$29"))+1)/--(FIND("VERIFICACIÓN: ", INDIRECT("'"&amp;$B36&amp;"'!$E$29:$E$45"))), 0))))),0))&lt;&gt;0,INDEX(INDIRECT("'"&amp;$B36&amp;"'!$A$29:$G$45"),MAX((IFERROR((ROW(INDIRECT("'"&amp;$B36&amp;"'!$E$29:$E$45"))-ROW(INDIRECT("'"&amp;$B36&amp;"'!$E$29"))+1)/--(IF(INDIRECT("'"&amp;$B36&amp;"'!$E$29:$E$45")&lt;&gt;"",1,0)),0))-(IFERROR((ROW(INDIRECT("'"&amp;$B36&amp;"'!$E$29:$E$45"))-ROW(INDIRECT("'"&amp;$B36&amp;"'!$E$29"))+1)/--(FIND("VERIFICACIÓN: ", INDIRECT("'"&amp;$B36&amp;"'!$E$29:$E$45"))),0))),5),"NO DISPONIBLE"))</f>
        <v xml:space="preserve">202348109 - LI MENGLONG </v>
      </c>
      <c r="U36" s="3" t="s">
        <v>69</v>
      </c>
      <c r="V36" s="5" cm="1">
        <f t="array" aca="1" ref="V36" ca="1">IF((IFERROR(VLOOKUP(IFERROR(LOOKUP(2,1/((INDIRECT("'"&amp;$B36&amp;"'!$F$29:$F$45"))&lt;&gt;""),(INDIRECT("'"&amp;$B36&amp;"'!$F$29:$F$45"))),"NO DISPONIBLE"),CHOOSE({1,2},(INDIRECT("'"&amp;$B36&amp;"'!$F$29:$F$45")),(INDIRECT("'"&amp;$B36&amp;"'!$A$29:$A$45"))),2,0),0))&gt;(IFERROR(VLOOKUP(IFERROR(LOOKUP(2,1/((INDIRECT("'"&amp;$B36&amp;"'!$E$29:$E$45"))&lt;&gt;""),(INDIRECT("'"&amp;$B36&amp;"'!$E$29:$E$45"))),"NO DISPONIBLE"),CHOOSE({1,2},(INDIRECT("'"&amp;$B36&amp;"'!$E$29:$E$45")),(INDIRECT("'"&amp;$B36&amp;"'!$A$29:$A$45"))),2,0),0)),(IFERROR(VLOOKUP(IFERROR(LOOKUP(2,1/((INDIRECT("'"&amp;$B36&amp;"'!$F$29:$F$45"))&lt;&gt;""),(INDIRECT("'"&amp;$B36&amp;"'!$F$29:$F$45"))),"NO DISPONIBLE"),CHOOSE({1,2},(INDIRECT("'"&amp;$B36&amp;"'!$F$29:$F$45")),(INDIRECT("'"&amp;$B36&amp;"'!$A$29:$A$45"))),2,0),0)),(IFERROR(VLOOKUP(IFERROR(LOOKUP(2,1/((INDIRECT("'"&amp;$B36&amp;"'!$E$29:$E$45"))&lt;&gt;""),(INDIRECT("'"&amp;$B36&amp;"'!$E$29:$E$45"))),"NO DISPONIBLE"),CHOOSE({1,2},(INDIRECT("'"&amp;$B36&amp;"'!$E$29:$E$45")),(INDIRECT("'"&amp;$B36&amp;"'!$A$29:$A$45"))),2,0),0)))</f>
        <v>45145</v>
      </c>
      <c r="W36" s="6" t="s">
        <v>70</v>
      </c>
      <c r="X36" s="7" t="str" cm="1">
        <f t="array" aca="1" ref="X36" ca="1">IF((IFERROR(VLOOKUP(IFERROR(LOOKUP(2,1/((INDIRECT("'"&amp;$B36&amp;"'!$E$29:$E$45"))&lt;&gt;""),(INDIRECT("'"&amp;$B36&amp;"'!$E$29:$E$45"))),"NO DISPONIBLE"),CHOOSE({1,2},(INDIRECT("'"&amp;$B36&amp;"'!$E$29:$E$45")),(INDIRECT("'"&amp;$B36&amp;"'!$A$29:$A$45"))),2,0),0))&gt;(IFERROR(VLOOKUP(IFERROR(LOOKUP(2,1/((INDIRECT("'"&amp;$B36&amp;"'!$F$29:$F$45"))&lt;&gt;""),(INDIRECT("'"&amp;$B36&amp;"'!$F$29:$F$45"))),"NO DISPONIBLE"),CHOOSE({1,2},(INDIRECT("'"&amp;$B36&amp;"'!$F$29:$F$45")),(INDIRECT("'"&amp;$B36&amp;"'!$A$29:$A$45"))),2,0),0)),IFERROR(LOOKUP(2,1/((INDIRECT("'"&amp;$B36&amp;"'!$E$29:$E$45"))&lt;&gt;""),(INDIRECT("'"&amp;$B36&amp;"'!$E$29:$E$45"))),"NO DISPONIBLE"),IFERROR(LOOKUP(2,1/((INDIRECT("'"&amp;$B36&amp;"'!$F$29:$F$45"))&lt;&gt;""),(INDIRECT("'"&amp;$B36&amp;"'!$F$29:$F$45"))),"NO DISPONIBLE"))</f>
        <v xml:space="preserve">202348109 - LI MENGLONG </v>
      </c>
      <c r="Y36" s="3">
        <v>36</v>
      </c>
      <c r="Z36" s="5" cm="1">
        <f t="array" aca="1" ref="Z36" ca="1">IF((IFERROR(VLOOKUP(IFERROR(LOOKUP(2,1/((INDIRECT("'"&amp;$B36&amp;"'!$D$29:$D$45"))&lt;&gt;""),(INDIRECT("'"&amp;$B36&amp;"'!$D$29:$D$45"))),"NO DISPONIBLE"),CHOOSE({1,2},(INDIRECT("'"&amp;$B36&amp;"'!$D$29:$D$45")),(INDIRECT("'"&amp;$B36&amp;"'!$A$29:$A$45"))),2,0),0))&gt;(IFERROR(VLOOKUP(IFERROR(LOOKUP(2,1/((INDIRECT("'"&amp;$B36&amp;"'!$C$29:$C$45"))&lt;&gt;""),(INDIRECT("'"&amp;$B36&amp;"'!$C$29:$C$45"))),"NO DISPONIBLE"),CHOOSE({1,2},(INDIRECT("'"&amp;$B36&amp;"'!$C$29:$C$45")),(INDIRECT("'"&amp;$B36&amp;"'!$A$29:$A$45"))),2,0),0)),(IFERROR(VLOOKUP(IFERROR(LOOKUP(2,1/((INDIRECT("'"&amp;$B36&amp;"'!$D$29:$D$45"))&lt;&gt;""),(INDIRECT("'"&amp;$B36&amp;"'!$D$29:$D$45"))),"NO DISPONIBLE"),CHOOSE({1,2},(INDIRECT("'"&amp;$B36&amp;"'!$D$29:$D$45")),(INDIRECT("'"&amp;$B36&amp;"'!$A$29:$A$45"))),2,0),0)),(IFERROR(VLOOKUP(IFERROR(LOOKUP(2,1/((INDIRECT("'"&amp;$B36&amp;"'!$C$29:$C$45"))&lt;&gt;""),(INDIRECT("'"&amp;$B36&amp;"'!$C$29:$C$45"))),"NO DISPONIBLE"),CHOOSE({1,2},(INDIRECT("'"&amp;$B36&amp;"'!$C$29:$C$45")),(INDIRECT("'"&amp;$B36&amp;"'!$A$29:$A$45"))),2,0),0)))</f>
        <v>45145</v>
      </c>
      <c r="AA36" s="6" t="s">
        <v>73</v>
      </c>
      <c r="AB36" s="7" t="str" cm="1">
        <f t="array" aca="1" ref="AB36" ca="1">IF((IFERROR(VLOOKUP(IFERROR(LOOKUP(2,1/((INDIRECT("'"&amp;$B36&amp;"'!$C$29:$C$45"))&lt;&gt;""),(INDIRECT("'"&amp;$B36&amp;"'!$C$29:$C$45"))),"NO DISPONIBLE"),CHOOSE({1,2},(INDIRECT("'"&amp;$B36&amp;"'!$C$29:$C$45")),(INDIRECT("'"&amp;$B36&amp;"'!$A$29:$A$45"))),2,0),0))&gt;(IFERROR(VLOOKUP(IFERROR(LOOKUP(2,1/((INDIRECT("'"&amp;$B36&amp;"'!$D$29:$D$45"))&lt;&gt;""),(INDIRECT("'"&amp;$B36&amp;"'!$D$29:$D$45"))),"NO DISPONIBLE"),CHOOSE({1,2},(INDIRECT("'"&amp;$B36&amp;"'!$D$29:$D$45")),(INDIRECT("'"&amp;$B36&amp;"'!$A$29:$A$45"))),2,0),0)),IFERROR(LOOKUP(2,1/((INDIRECT("'"&amp;$B36&amp;"'!$C$29:$C$45"))&lt;&gt;""),(INDIRECT("'"&amp;$B36&amp;"'!$C$29:$C$45"))),"NO DISPONIBLE"),IFERROR(LOOKUP(2,1/((INDIRECT("'"&amp;$B36&amp;"'!$D$29:$D$45"))&lt;&gt;""),(INDIRECT("'"&amp;$B36&amp;"'!$D$29:$D$45"))),"NO DISPONIBLE"))</f>
        <v>NUEVO</v>
      </c>
      <c r="AC36" s="6" t="s">
        <v>82</v>
      </c>
      <c r="AD36" s="8"/>
    </row>
    <row r="37" spans="1:30" x14ac:dyDescent="0.3">
      <c r="A37" s="10" t="s">
        <v>52</v>
      </c>
      <c r="B37" s="10" t="str" cm="1">
        <f t="array" aca="1" ref="B37" ca="1">INDIRECT("'"&amp;$B37&amp;"'!$A$6")</f>
        <v>DECADA RESISTIVA</v>
      </c>
      <c r="C37" s="9" t="str" cm="1">
        <f t="array" aca="1" ref="C37" ca="1">INDIRECT("'"&amp;$B37&amp;"'!$G$14")</f>
        <v>NO APLICA</v>
      </c>
      <c r="D37" s="9" t="str" cm="1">
        <f t="array" aca="1" ref="D37" ca="1">INDIRECT("'"&amp;$B37&amp;"'!$G$15")</f>
        <v>NO APLICA</v>
      </c>
      <c r="E37" s="25" t="str" cm="1">
        <f t="array" aca="1" ref="E37" ca="1">INDIRECT("'"&amp;$B37&amp;"'!$G$16")</f>
        <v>64043WP205-221115</v>
      </c>
      <c r="F37" s="3" t="s">
        <v>65</v>
      </c>
      <c r="G37" s="3" t="s">
        <v>67</v>
      </c>
      <c r="H37" s="9" t="str" cm="1">
        <f t="array" aca="1" ref="H37" ca="1">INDIRECT("'"&amp;$B37&amp;"'!$G$11")</f>
        <v xml:space="preserve">ELÉCTRICAS </v>
      </c>
      <c r="I37" s="9" t="str" cm="1">
        <f t="array" aca="1" ref="I37" ca="1">INDIRECT("'"&amp;$B37&amp;"'!$C$11")</f>
        <v>MEDIA</v>
      </c>
      <c r="J37" s="9" t="str" cm="1">
        <f t="array" aca="1" ref="J37" ca="1">INDIRECT("'"&amp;$B37&amp;"'!$G$21")</f>
        <v>10 OHM</v>
      </c>
      <c r="K37" s="9" t="str" cm="1">
        <f t="array" aca="1" ref="K37" ca="1">INDIRECT("'"&amp;$B37&amp;"'!$G$22")</f>
        <v>1 OHM</v>
      </c>
      <c r="L37" s="9" t="str" cm="1">
        <f t="array" aca="1" ref="L37" ca="1">INDIRECT("'"&amp;$B37&amp;"'!$G$23")</f>
        <v>NO APLICA</v>
      </c>
      <c r="M37" s="11"/>
      <c r="N37" s="9" t="str" cm="1">
        <f t="array" aca="1" ref="N37" ca="1">INDIRECT("'"&amp;$B37&amp;"'!$G$22")</f>
        <v>1 OHM</v>
      </c>
      <c r="O37" s="9"/>
      <c r="P37" s="7" t="str" cm="1">
        <f t="array" aca="1" ref="P37" ca="1">IFERROR(LOOKUP(2,1/((INDIRECT("'"&amp;$B37&amp;"'!$G$29:$G$45"))&lt;&gt;""),(INDIRECT("'"&amp;$B37&amp;"'!$G$29:$G$45"))),"NO DISPONIBLE")</f>
        <v>FUNCIONAL</v>
      </c>
      <c r="Q37" s="3" t="s">
        <v>69</v>
      </c>
      <c r="R37" s="12" cm="1">
        <f t="array" aca="1" ref="R37" ca="1">IF(IF(MAX((IFERROR((ROW(INDIRECT("'"&amp;$B37&amp;"'!$F$29:$F$45"))-ROW(INDIRECT("'"&amp;$B37&amp;"'!$F$29"))+1)/--(IF(INDIRECT("'"&amp;$B37&amp;"'!$F$29:$F$45")&lt;&gt;"",1,0)),0))-(IFERROR((ROW(INDIRECT("'"&amp;$B37&amp;"'!$F$29:$F$45"))-ROW(INDIRECT("'"&amp;$B37&amp;"'!$F$29"))+1)/--(FIND("VERIFICACIÓN: ", INDIRECT("'"&amp;$B37&amp;"'!$F$29:$F$45"))),0)))&lt;&gt;0,INDEX(INDIRECT("'"&amp;$B37&amp;"'!$A$29:$G$45"),MAX((IFERROR((ROW(INDIRECT("'"&amp;$B37&amp;"'!$F$29:$F$45"))-ROW(INDIRECT("'"&amp;$B37&amp;"'!$F$29"))+1)/--(IF(INDIRECT("'"&amp;$B37&amp;"'!$F$29:$F$45")&lt;&gt;"",1,0)),0))-(IFERROR((ROW(INDIRECT("'"&amp;$B37&amp;"'!$F$29:$F$45"))-ROW(INDIRECT("'"&amp;$B37&amp;"'!$F$29"))+1)/--(FIND("VERIFICACIÓN: ", INDIRECT("'"&amp;$B37&amp;"'!$F$29:$F$45"))),0))),1),0)&gt;IF(MAX(IFERROR((_xlfn._xlws.FILTER((ROW(INDIRECT("'"&amp;$B37&amp;"'!$E$29:$E$45"))-ROW(INDIRECT("'"&amp;$B37&amp;"'!$E$29"))+1)/--(IF(INDIRECT("'"&amp;$B37&amp;"'!$E$29:$E$45")&lt;&gt;"",1,0)), NOT(ISNUMBER(MATCH((ROW(INDIRECT("'"&amp;$B37&amp;"'!$E$29:$E$45"))-ROW(INDIRECT("'"&amp;$B37&amp;"'!$E$29"))+1)/--(IF(INDIRECT("'"&amp;$B37&amp;"'!$E$29:$E$45")&lt;&gt;"",1,0)), (ROW(INDIRECT("'"&amp;$B37&amp;"'!$E$29:$E$45"))-ROW(INDIRECT("'"&amp;$B37&amp;"'!$E$29"))+1)/--(FIND("VERIFICACIÓN: ", INDIRECT("'"&amp;$B37&amp;"'!$E$29:$E$45"))), 0))))),0))&lt;&gt;0,INDEX(INDIRECT("'"&amp;$B37&amp;"'!$A$29:$G$45"),MAX((IFERROR((ROW(INDIRECT("'"&amp;$B37&amp;"'!$E$29:$E$45"))-ROW(INDIRECT("'"&amp;$B37&amp;"'!$E$29"))+1)/--(IF(INDIRECT("'"&amp;$B37&amp;"'!$E$29:$E$45")&lt;&gt;"",1,0)),0))-(IFERROR((ROW(INDIRECT("'"&amp;$B37&amp;"'!$E$29:$E$45"))-ROW(INDIRECT("'"&amp;$B37&amp;"'!$E$29"))+1)/--(FIND("VERIFICACIÓN: ", INDIRECT("'"&amp;$B37&amp;"'!$E$29:$E$45"))),0))),1),0),IF(MAX((IFERROR((ROW(INDIRECT("'"&amp;$B37&amp;"'!$F$29:$F$45"))-ROW(INDIRECT("'"&amp;$B37&amp;"'!$F$29"))+1)/--(IF(INDIRECT("'"&amp;$B37&amp;"'!$F$29:$F$45")&lt;&gt;"",1,0)),0))-(IFERROR((ROW(INDIRECT("'"&amp;$B37&amp;"'!$F$29:$F$45"))-ROW(INDIRECT("'"&amp;$B37&amp;"'!$F$29"))+1)/--(FIND("VERIFICACIÓN: ", INDIRECT("'"&amp;$B37&amp;"'!$F$29:$F$45"))),0)))&lt;&gt;0,INDEX(INDIRECT("'"&amp;$B37&amp;"'!$A$29:$G$45"),MAX((IFERROR((ROW(INDIRECT("'"&amp;$B37&amp;"'!$F$29:$F$45"))-ROW(INDIRECT("'"&amp;$B37&amp;"'!$F$29"))+1)/--(IF(INDIRECT("'"&amp;$B37&amp;"'!$F$29:$F$45")&lt;&gt;"",1,0)),0))-(IFERROR((ROW(INDIRECT("'"&amp;$B37&amp;"'!$F$29:$F$45"))-ROW(INDIRECT("'"&amp;$B37&amp;"'!$F$29"))+1)/--(FIND("VERIFICACIÓN: ", INDIRECT("'"&amp;$B37&amp;"'!$F$29:$F$45"))),0))),1),0),IF(MAX(IFERROR((_xlfn._xlws.FILTER((ROW(INDIRECT("'"&amp;$B37&amp;"'!$E$29:$E$45"))-ROW(INDIRECT("'"&amp;$B37&amp;"'!$E$29"))+1)/--(IF(INDIRECT("'"&amp;$B37&amp;"'!$E$29:$E$45")&lt;&gt;"",1,0)), NOT(ISNUMBER(MATCH((ROW(INDIRECT("'"&amp;$B37&amp;"'!$E$29:$E$45"))-ROW(INDIRECT("'"&amp;$B37&amp;"'!$E$29"))+1)/--(IF(INDIRECT("'"&amp;$B37&amp;"'!$E$29:$E$45")&lt;&gt;"",1,0)), (ROW(INDIRECT("'"&amp;$B37&amp;"'!$E$29:$E$45"))-ROW(INDIRECT("'"&amp;$B37&amp;"'!$E$29"))+1)/--(FIND("VERIFICACIÓN: ", INDIRECT("'"&amp;$B37&amp;"'!$E$29:$E$45"))), 0))))),0))&lt;&gt;0,INDEX(INDIRECT("'"&amp;$B37&amp;"'!$A$29:$G$45"),MAX((IFERROR((ROW(INDIRECT("'"&amp;$B37&amp;"'!$E$29:$E$45"))-ROW(INDIRECT("'"&amp;$B37&amp;"'!$E$29"))+1)/--(IF(INDIRECT("'"&amp;$B37&amp;"'!$E$29:$E$45")&lt;&gt;"",1,0)),0))-(IFERROR((ROW(INDIRECT("'"&amp;$B37&amp;"'!$E$29:$E$45"))-ROW(INDIRECT("'"&amp;$B37&amp;"'!$E$29"))+1)/--(FIND("VERIFICACIÓN: ", INDIRECT("'"&amp;$B37&amp;"'!$E$29:$E$45"))),0))),1),0))</f>
        <v>0</v>
      </c>
      <c r="S37" s="6" t="s">
        <v>70</v>
      </c>
      <c r="T37" s="13" t="str" cm="1">
        <f t="array" aca="1" ref="T37" ca="1">IF(IF(MAX((IFERROR((ROW(INDIRECT("'"&amp;$B37&amp;"'!$F$29:$F$45"))-ROW(INDIRECT("'"&amp;$B37&amp;"'!$F$29"))+1)/--(IF(INDIRECT("'"&amp;$B37&amp;"'!$F$29:$F$45")&lt;&gt;"",1,0)),0))-(IFERROR((ROW(INDIRECT("'"&amp;$B37&amp;"'!$F$29:$F$45"))-ROW(INDIRECT("'"&amp;$B37&amp;"'!$F$29"))+1)/--(FIND("VERIFICACIÓN: ", INDIRECT("'"&amp;$B37&amp;"'!$F$29:$F$45"))),0)))&lt;&gt;0,INDEX(INDIRECT("'"&amp;$B37&amp;"'!$A$29:$G$45"),MAX((IFERROR((ROW(INDIRECT("'"&amp;$B37&amp;"'!$F$29:$F$45"))-ROW(INDIRECT("'"&amp;$B37&amp;"'!$F$29"))+1)/--(IF(INDIRECT("'"&amp;$B37&amp;"'!$F$29:$F$45")&lt;&gt;"",1,0)),0))-(IFERROR((ROW(INDIRECT("'"&amp;$B37&amp;"'!$F$29:$F$45"))-ROW(INDIRECT("'"&amp;$B37&amp;"'!$F$29"))+1)/--(FIND("VERIFICACIÓN: ", INDIRECT("'"&amp;$B37&amp;"'!$F$29:$F$45"))),0))),1),0)&gt;IF(MAX(IFERROR((_xlfn._xlws.FILTER((ROW(INDIRECT("'"&amp;$B37&amp;"'!$E$29:$E$45"))-ROW(INDIRECT("'"&amp;$B37&amp;"'!$E$29"))+1)/--(IF(INDIRECT("'"&amp;$B37&amp;"'!$E$29:$E$45")&lt;&gt;"",1,0)), NOT(ISNUMBER(MATCH((ROW(INDIRECT("'"&amp;$B37&amp;"'!$E$29:$E$45"))-ROW(INDIRECT("'"&amp;$B37&amp;"'!$E$29"))+1)/--(IF(INDIRECT("'"&amp;$B37&amp;"'!$E$29:$E$45")&lt;&gt;"",1,0)), (ROW(INDIRECT("'"&amp;$B37&amp;"'!$E$29:$E$45"))-ROW(INDIRECT("'"&amp;$B37&amp;"'!$E$29"))+1)/--(FIND("VERIFICACIÓN: ", INDIRECT("'"&amp;$B37&amp;"'!$E$29:$E$45"))), 0))))),0))&lt;&gt;0,INDEX(INDIRECT("'"&amp;$B37&amp;"'!$A$29:$G$45"),MAX((IFERROR((ROW(INDIRECT("'"&amp;$B37&amp;"'!$E$29:$E$45"))-ROW(INDIRECT("'"&amp;$B37&amp;"'!$E$29"))+1)/--(IF(INDIRECT("'"&amp;$B37&amp;"'!$E$29:$E$45")&lt;&gt;"",1,0)),0))-(IFERROR((ROW(INDIRECT("'"&amp;$B37&amp;"'!$E$29:$E$45"))-ROW(INDIRECT("'"&amp;$B37&amp;"'!$E$29"))+1)/--(FIND("VERIFICACIÓN: ", INDIRECT("'"&amp;$B37&amp;"'!$E$29:$E$45"))),0))),1),0),IF(MAX((IFERROR((ROW(INDIRECT("'"&amp;$B37&amp;"'!$F$29:$F$45"))-ROW(INDIRECT("'"&amp;$B37&amp;"'!$F$29"))+1)/--(IF(INDIRECT("'"&amp;$B37&amp;"'!$F$29:$F$45")&lt;&gt;"",1,0)),0))-(IFERROR((ROW(INDIRECT("'"&amp;$B37&amp;"'!$F$29:$F$45"))-ROW(INDIRECT("'"&amp;$B37&amp;"'!$F$29"))+1)/--(FIND("VERIFICACIÓN: ", INDIRECT("'"&amp;$B37&amp;"'!$F$29:$F$45"))),0)))&lt;&gt;0,INDEX(INDIRECT("'"&amp;$B37&amp;"'!$A$29:$G$45"),MAX((IFERROR((ROW(INDIRECT("'"&amp;$B37&amp;"'!$F$29:$F$45"))-ROW(INDIRECT("'"&amp;$B37&amp;"'!$F$29"))+1)/--(IF(INDIRECT("'"&amp;$B37&amp;"'!$F$29:$F$45")&lt;&gt;"",1,0)),0))-(IFERROR((ROW(INDIRECT("'"&amp;$B37&amp;"'!$F$29:$F$45"))-ROW(INDIRECT("'"&amp;$B37&amp;"'!$F$29"))+1)/--(FIND("VERIFICACIÓN: ", INDIRECT("'"&amp;$B37&amp;"'!$F$29:$F$45"))),0))),6),"NO DISPONIBLE"),IF(MAX(IFERROR((_xlfn._xlws.FILTER((ROW(INDIRECT("'"&amp;$B37&amp;"'!$E$29:$E$45"))-ROW(INDIRECT("'"&amp;$B37&amp;"'!$E$29"))+1)/--(IF(INDIRECT("'"&amp;$B37&amp;"'!$E$29:$E$45")&lt;&gt;"",1,0)), NOT(ISNUMBER(MATCH((ROW(INDIRECT("'"&amp;$B37&amp;"'!$E$29:$E$45"))-ROW(INDIRECT("'"&amp;$B37&amp;"'!$E$29"))+1)/--(IF(INDIRECT("'"&amp;$B37&amp;"'!$E$29:$E$45")&lt;&gt;"",1,0)), (ROW(INDIRECT("'"&amp;$B37&amp;"'!$E$29:$E$45"))-ROW(INDIRECT("'"&amp;$B37&amp;"'!$E$29"))+1)/--(FIND("VERIFICACIÓN: ", INDIRECT("'"&amp;$B37&amp;"'!$E$29:$E$45"))), 0))))),0))&lt;&gt;0,INDEX(INDIRECT("'"&amp;$B37&amp;"'!$A$29:$G$45"),MAX((IFERROR((ROW(INDIRECT("'"&amp;$B37&amp;"'!$E$29:$E$45"))-ROW(INDIRECT("'"&amp;$B37&amp;"'!$E$29"))+1)/--(IF(INDIRECT("'"&amp;$B37&amp;"'!$E$29:$E$45")&lt;&gt;"",1,0)),0))-(IFERROR((ROW(INDIRECT("'"&amp;$B37&amp;"'!$E$29:$E$45"))-ROW(INDIRECT("'"&amp;$B37&amp;"'!$E$29"))+1)/--(FIND("VERIFICACIÓN: ", INDIRECT("'"&amp;$B37&amp;"'!$E$29:$E$45"))),0))),5),"NO DISPONIBLE"))</f>
        <v>NO DISPONIBLE</v>
      </c>
      <c r="U37" s="3" t="s">
        <v>69</v>
      </c>
      <c r="V37" s="12" cm="1">
        <f t="array" aca="1" ref="V37" ca="1">IF((IFERROR(VLOOKUP(IFERROR(LOOKUP(2,1/((INDIRECT("'"&amp;$B37&amp;"'!$F$29:$F$45"))&lt;&gt;""),(INDIRECT("'"&amp;$B37&amp;"'!$F$29:$F$45"))),"NO DISPONIBLE"),CHOOSE({1,2},(INDIRECT("'"&amp;$B37&amp;"'!$F$29:$F$45")),(INDIRECT("'"&amp;$B37&amp;"'!$A$29:$A$45"))),2,0),0))&gt;(IFERROR(VLOOKUP(IFERROR(LOOKUP(2,1/((INDIRECT("'"&amp;$B37&amp;"'!$E$29:$E$45"))&lt;&gt;""),(INDIRECT("'"&amp;$B37&amp;"'!$E$29:$E$45"))),"NO DISPONIBLE"),CHOOSE({1,2},(INDIRECT("'"&amp;$B37&amp;"'!$E$29:$E$45")),(INDIRECT("'"&amp;$B37&amp;"'!$A$29:$A$45"))),2,0),0)),(IFERROR(VLOOKUP(IFERROR(LOOKUP(2,1/((INDIRECT("'"&amp;$B37&amp;"'!$F$29:$F$45"))&lt;&gt;""),(INDIRECT("'"&amp;$B37&amp;"'!$F$29:$F$45"))),"NO DISPONIBLE"),CHOOSE({1,2},(INDIRECT("'"&amp;$B37&amp;"'!$F$29:$F$45")),(INDIRECT("'"&amp;$B37&amp;"'!$A$29:$A$45"))),2,0),0)),(IFERROR(VLOOKUP(IFERROR(LOOKUP(2,1/((INDIRECT("'"&amp;$B37&amp;"'!$E$29:$E$45"))&lt;&gt;""),(INDIRECT("'"&amp;$B37&amp;"'!$E$29:$E$45"))),"NO DISPONIBLE"),CHOOSE({1,2},(INDIRECT("'"&amp;$B37&amp;"'!$E$29:$E$45")),(INDIRECT("'"&amp;$B37&amp;"'!$A$29:$A$45"))),2,0),0)))</f>
        <v>0</v>
      </c>
      <c r="W37" s="6" t="s">
        <v>70</v>
      </c>
      <c r="X37" s="13" t="str" cm="1">
        <f t="array" aca="1" ref="X37" ca="1">IF((IFERROR(VLOOKUP(IFERROR(LOOKUP(2,1/((INDIRECT("'"&amp;$B37&amp;"'!$E$29:$E$45"))&lt;&gt;""),(INDIRECT("'"&amp;$B37&amp;"'!$E$29:$E$45"))),"NO DISPONIBLE"),CHOOSE({1,2},(INDIRECT("'"&amp;$B37&amp;"'!$E$29:$E$45")),(INDIRECT("'"&amp;$B37&amp;"'!$A$29:$A$45"))),2,0),0))&gt;(IFERROR(VLOOKUP(IFERROR(LOOKUP(2,1/((INDIRECT("'"&amp;$B37&amp;"'!$F$29:$F$45"))&lt;&gt;""),(INDIRECT("'"&amp;$B37&amp;"'!$F$29:$F$45"))),"NO DISPONIBLE"),CHOOSE({1,2},(INDIRECT("'"&amp;$B37&amp;"'!$F$29:$F$45")),(INDIRECT("'"&amp;$B37&amp;"'!$A$29:$A$45"))),2,0),0)),IFERROR(LOOKUP(2,1/((INDIRECT("'"&amp;$B37&amp;"'!$E$29:$E$45"))&lt;&gt;""),(INDIRECT("'"&amp;$B37&amp;"'!$E$29:$E$45"))),"NO DISPONIBLE"),IFERROR(LOOKUP(2,1/((INDIRECT("'"&amp;$B37&amp;"'!$F$29:$F$45"))&lt;&gt;""),(INDIRECT("'"&amp;$B37&amp;"'!$F$29:$F$45"))),"NO DISPONIBLE"))</f>
        <v>NO DISPONIBLE</v>
      </c>
      <c r="Y37" s="3" t="s">
        <v>69</v>
      </c>
      <c r="Z37" s="12" cm="1">
        <f t="array" aca="1" ref="Z37" ca="1">IF((IFERROR(VLOOKUP(IFERROR(LOOKUP(2,1/((INDIRECT("'"&amp;$B37&amp;"'!$D$29:$D$45"))&lt;&gt;""),(INDIRECT("'"&amp;$B37&amp;"'!$D$29:$D$45"))),"NO DISPONIBLE"),CHOOSE({1,2},(INDIRECT("'"&amp;$B37&amp;"'!$D$29:$D$45")),(INDIRECT("'"&amp;$B37&amp;"'!$A$29:$A$45"))),2,0),0))&gt;(IFERROR(VLOOKUP(IFERROR(LOOKUP(2,1/((INDIRECT("'"&amp;$B37&amp;"'!$C$29:$C$45"))&lt;&gt;""),(INDIRECT("'"&amp;$B37&amp;"'!$C$29:$C$45"))),"NO DISPONIBLE"),CHOOSE({1,2},(INDIRECT("'"&amp;$B37&amp;"'!$C$29:$C$45")),(INDIRECT("'"&amp;$B37&amp;"'!$A$29:$A$45"))),2,0),0)),(IFERROR(VLOOKUP(IFERROR(LOOKUP(2,1/((INDIRECT("'"&amp;$B37&amp;"'!$D$29:$D$45"))&lt;&gt;""),(INDIRECT("'"&amp;$B37&amp;"'!$D$29:$D$45"))),"NO DISPONIBLE"),CHOOSE({1,2},(INDIRECT("'"&amp;$B37&amp;"'!$D$29:$D$45")),(INDIRECT("'"&amp;$B37&amp;"'!$A$29:$A$45"))),2,0),0)),(IFERROR(VLOOKUP(IFERROR(LOOKUP(2,1/((INDIRECT("'"&amp;$B37&amp;"'!$C$29:$C$45"))&lt;&gt;""),(INDIRECT("'"&amp;$B37&amp;"'!$C$29:$C$45"))),"NO DISPONIBLE"),CHOOSE({1,2},(INDIRECT("'"&amp;$B37&amp;"'!$C$29:$C$45")),(INDIRECT("'"&amp;$B37&amp;"'!$A$29:$A$45"))),2,0),0)))</f>
        <v>0</v>
      </c>
      <c r="AA37" s="6" t="s">
        <v>70</v>
      </c>
      <c r="AB37" s="13" t="str" cm="1">
        <f t="array" aca="1" ref="AB37" ca="1">IF((IFERROR(VLOOKUP(IFERROR(LOOKUP(2,1/((INDIRECT("'"&amp;$B37&amp;"'!$C$29:$C$45"))&lt;&gt;""),(INDIRECT("'"&amp;$B37&amp;"'!$C$29:$C$45"))),"NO DISPONIBLE"),CHOOSE({1,2},(INDIRECT("'"&amp;$B37&amp;"'!$C$29:$C$45")),(INDIRECT("'"&amp;$B37&amp;"'!$A$29:$A$45"))),2,0),0))&gt;(IFERROR(VLOOKUP(IFERROR(LOOKUP(2,1/((INDIRECT("'"&amp;$B37&amp;"'!$D$29:$D$45"))&lt;&gt;""),(INDIRECT("'"&amp;$B37&amp;"'!$D$29:$D$45"))),"NO DISPONIBLE"),CHOOSE({1,2},(INDIRECT("'"&amp;$B37&amp;"'!$D$29:$D$45")),(INDIRECT("'"&amp;$B37&amp;"'!$A$29:$A$45"))),2,0),0)),IFERROR(LOOKUP(2,1/((INDIRECT("'"&amp;$B37&amp;"'!$C$29:$C$45"))&lt;&gt;""),(INDIRECT("'"&amp;$B37&amp;"'!$C$29:$C$45"))),"NO DISPONIBLE"),IFERROR(LOOKUP(2,1/((INDIRECT("'"&amp;$B37&amp;"'!$D$29:$D$45"))&lt;&gt;""),(INDIRECT("'"&amp;$B37&amp;"'!$D$29:$D$45"))),"NO DISPONIBLE"))</f>
        <v>NO DISPONIBLE</v>
      </c>
      <c r="AC37" s="6" t="s">
        <v>82</v>
      </c>
      <c r="AD37" s="14"/>
    </row>
    <row r="38" spans="1:30" x14ac:dyDescent="0.3">
      <c r="A38" s="2" t="s">
        <v>53</v>
      </c>
      <c r="B38" s="2" t="str" cm="1">
        <f t="array" aca="1" ref="B38" ca="1">INDIRECT("'"&amp;$B38&amp;"'!$A$6")</f>
        <v>SHIMS</v>
      </c>
      <c r="C38" s="3" t="str" cm="1">
        <f t="array" aca="1" ref="C38" ca="1">INDIRECT("'"&amp;$B38&amp;"'!$G$14")</f>
        <v>SKF</v>
      </c>
      <c r="D38" s="3" t="str" cm="1">
        <f t="array" aca="1" ref="D38" ca="1">INDIRECT("'"&amp;$B38&amp;"'!$G$15")</f>
        <v>TMAS50-005</v>
      </c>
      <c r="E38" s="24" cm="1">
        <f t="array" aca="1" ref="E38" ca="1">INDIRECT("'"&amp;$B38&amp;"'!$G$16")</f>
        <v>7316570188943</v>
      </c>
      <c r="F38" s="3" t="s">
        <v>66</v>
      </c>
      <c r="G38" s="3" t="s">
        <v>67</v>
      </c>
      <c r="H38" s="3" t="str" cm="1">
        <f t="array" aca="1" ref="H38" ca="1">INDIRECT("'"&amp;$B38&amp;"'!$G$11")</f>
        <v>LONGITUD</v>
      </c>
      <c r="I38" s="3" t="str" cm="1">
        <f t="array" aca="1" ref="I38" ca="1">INDIRECT("'"&amp;$B38&amp;"'!$C$11")</f>
        <v>MEDIA</v>
      </c>
      <c r="J38" s="3" t="str" cm="1">
        <f t="array" aca="1" ref="J38" ca="1">INDIRECT("'"&amp;$B38&amp;"'!$G$21")</f>
        <v>0,05MM</v>
      </c>
      <c r="K38" s="3" t="str" cm="1">
        <f t="array" aca="1" ref="K38" ca="1">INDIRECT("'"&amp;$B38&amp;"'!$G$22")</f>
        <v>0,05MM</v>
      </c>
      <c r="L38" s="3" t="str" cm="1">
        <f t="array" aca="1" ref="L38" ca="1">INDIRECT("'"&amp;$B38&amp;"'!$G$23")</f>
        <v>N/A</v>
      </c>
      <c r="M38" s="4"/>
      <c r="N38" s="3" t="str" cm="1">
        <f t="array" aca="1" ref="N38" ca="1">INDIRECT("'"&amp;$B38&amp;"'!$G$22")</f>
        <v>0,05MM</v>
      </c>
      <c r="O38" s="3"/>
      <c r="P38" s="7" t="str" cm="1">
        <f t="array" aca="1" ref="P38" ca="1">IFERROR(LOOKUP(2,1/((INDIRECT("'"&amp;$B38&amp;"'!$G$29:$G$45"))&lt;&gt;""),(INDIRECT("'"&amp;$B38&amp;"'!$G$29:$G$45"))),"NO DISPONIBLE")</f>
        <v>FUNCIONAL</v>
      </c>
      <c r="Q38" s="3">
        <v>36</v>
      </c>
      <c r="R38" s="5" cm="1">
        <f t="array" aca="1" ref="R38" ca="1">IF(IF(MAX((IFERROR((ROW(INDIRECT("'"&amp;$B38&amp;"'!$F$29:$F$45"))-ROW(INDIRECT("'"&amp;$B38&amp;"'!$F$29"))+1)/--(IF(INDIRECT("'"&amp;$B38&amp;"'!$F$29:$F$45")&lt;&gt;"",1,0)),0))-(IFERROR((ROW(INDIRECT("'"&amp;$B38&amp;"'!$F$29:$F$45"))-ROW(INDIRECT("'"&amp;$B38&amp;"'!$F$29"))+1)/--(FIND("VERIFICACIÓN: ", INDIRECT("'"&amp;$B38&amp;"'!$F$29:$F$45"))),0)))&lt;&gt;0,INDEX(INDIRECT("'"&amp;$B38&amp;"'!$A$29:$G$45"),MAX((IFERROR((ROW(INDIRECT("'"&amp;$B38&amp;"'!$F$29:$F$45"))-ROW(INDIRECT("'"&amp;$B38&amp;"'!$F$29"))+1)/--(IF(INDIRECT("'"&amp;$B38&amp;"'!$F$29:$F$45")&lt;&gt;"",1,0)),0))-(IFERROR((ROW(INDIRECT("'"&amp;$B38&amp;"'!$F$29:$F$45"))-ROW(INDIRECT("'"&amp;$B38&amp;"'!$F$29"))+1)/--(FIND("VERIFICACIÓN: ", INDIRECT("'"&amp;$B38&amp;"'!$F$29:$F$45"))),0))),1),0)&gt;IF(MAX(IFERROR((_xlfn._xlws.FILTER((ROW(INDIRECT("'"&amp;$B38&amp;"'!$E$29:$E$45"))-ROW(INDIRECT("'"&amp;$B38&amp;"'!$E$29"))+1)/--(IF(INDIRECT("'"&amp;$B38&amp;"'!$E$29:$E$45")&lt;&gt;"",1,0)), NOT(ISNUMBER(MATCH((ROW(INDIRECT("'"&amp;$B38&amp;"'!$E$29:$E$45"))-ROW(INDIRECT("'"&amp;$B38&amp;"'!$E$29"))+1)/--(IF(INDIRECT("'"&amp;$B38&amp;"'!$E$29:$E$45")&lt;&gt;"",1,0)), (ROW(INDIRECT("'"&amp;$B38&amp;"'!$E$29:$E$45"))-ROW(INDIRECT("'"&amp;$B38&amp;"'!$E$29"))+1)/--(FIND("VERIFICACIÓN: ", INDIRECT("'"&amp;$B38&amp;"'!$E$29:$E$45"))), 0))))),0))&lt;&gt;0,INDEX(INDIRECT("'"&amp;$B38&amp;"'!$A$29:$G$45"),MAX((IFERROR((ROW(INDIRECT("'"&amp;$B38&amp;"'!$E$29:$E$45"))-ROW(INDIRECT("'"&amp;$B38&amp;"'!$E$29"))+1)/--(IF(INDIRECT("'"&amp;$B38&amp;"'!$E$29:$E$45")&lt;&gt;"",1,0)),0))-(IFERROR((ROW(INDIRECT("'"&amp;$B38&amp;"'!$E$29:$E$45"))-ROW(INDIRECT("'"&amp;$B38&amp;"'!$E$29"))+1)/--(FIND("VERIFICACIÓN: ", INDIRECT("'"&amp;$B38&amp;"'!$E$29:$E$45"))),0))),1),0),IF(MAX((IFERROR((ROW(INDIRECT("'"&amp;$B38&amp;"'!$F$29:$F$45"))-ROW(INDIRECT("'"&amp;$B38&amp;"'!$F$29"))+1)/--(IF(INDIRECT("'"&amp;$B38&amp;"'!$F$29:$F$45")&lt;&gt;"",1,0)),0))-(IFERROR((ROW(INDIRECT("'"&amp;$B38&amp;"'!$F$29:$F$45"))-ROW(INDIRECT("'"&amp;$B38&amp;"'!$F$29"))+1)/--(FIND("VERIFICACIÓN: ", INDIRECT("'"&amp;$B38&amp;"'!$F$29:$F$45"))),0)))&lt;&gt;0,INDEX(INDIRECT("'"&amp;$B38&amp;"'!$A$29:$G$45"),MAX((IFERROR((ROW(INDIRECT("'"&amp;$B38&amp;"'!$F$29:$F$45"))-ROW(INDIRECT("'"&amp;$B38&amp;"'!$F$29"))+1)/--(IF(INDIRECT("'"&amp;$B38&amp;"'!$F$29:$F$45")&lt;&gt;"",1,0)),0))-(IFERROR((ROW(INDIRECT("'"&amp;$B38&amp;"'!$F$29:$F$45"))-ROW(INDIRECT("'"&amp;$B38&amp;"'!$F$29"))+1)/--(FIND("VERIFICACIÓN: ", INDIRECT("'"&amp;$B38&amp;"'!$F$29:$F$45"))),0))),1),0),IF(MAX(IFERROR((_xlfn._xlws.FILTER((ROW(INDIRECT("'"&amp;$B38&amp;"'!$E$29:$E$45"))-ROW(INDIRECT("'"&amp;$B38&amp;"'!$E$29"))+1)/--(IF(INDIRECT("'"&amp;$B38&amp;"'!$E$29:$E$45")&lt;&gt;"",1,0)), NOT(ISNUMBER(MATCH((ROW(INDIRECT("'"&amp;$B38&amp;"'!$E$29:$E$45"))-ROW(INDIRECT("'"&amp;$B38&amp;"'!$E$29"))+1)/--(IF(INDIRECT("'"&amp;$B38&amp;"'!$E$29:$E$45")&lt;&gt;"",1,0)), (ROW(INDIRECT("'"&amp;$B38&amp;"'!$E$29:$E$45"))-ROW(INDIRECT("'"&amp;$B38&amp;"'!$E$29"))+1)/--(FIND("VERIFICACIÓN: ", INDIRECT("'"&amp;$B38&amp;"'!$E$29:$E$45"))), 0))))),0))&lt;&gt;0,INDEX(INDIRECT("'"&amp;$B38&amp;"'!$A$29:$G$45"),MAX((IFERROR((ROW(INDIRECT("'"&amp;$B38&amp;"'!$E$29:$E$45"))-ROW(INDIRECT("'"&amp;$B38&amp;"'!$E$29"))+1)/--(IF(INDIRECT("'"&amp;$B38&amp;"'!$E$29:$E$45")&lt;&gt;"",1,0)),0))-(IFERROR((ROW(INDIRECT("'"&amp;$B38&amp;"'!$E$29:$E$45"))-ROW(INDIRECT("'"&amp;$B38&amp;"'!$E$29"))+1)/--(FIND("VERIFICACIÓN: ", INDIRECT("'"&amp;$B38&amp;"'!$E$29:$E$45"))),0))),1),0))</f>
        <v>45118</v>
      </c>
      <c r="S38" s="6" t="s">
        <v>68</v>
      </c>
      <c r="T38" s="7" t="str" cm="1">
        <f t="array" aca="1" ref="T38" ca="1">IF(IF(MAX((IFERROR((ROW(INDIRECT("'"&amp;$B38&amp;"'!$F$29:$F$45"))-ROW(INDIRECT("'"&amp;$B38&amp;"'!$F$29"))+1)/--(IF(INDIRECT("'"&amp;$B38&amp;"'!$F$29:$F$45")&lt;&gt;"",1,0)),0))-(IFERROR((ROW(INDIRECT("'"&amp;$B38&amp;"'!$F$29:$F$45"))-ROW(INDIRECT("'"&amp;$B38&amp;"'!$F$29"))+1)/--(FIND("VERIFICACIÓN: ", INDIRECT("'"&amp;$B38&amp;"'!$F$29:$F$45"))),0)))&lt;&gt;0,INDEX(INDIRECT("'"&amp;$B38&amp;"'!$A$29:$G$45"),MAX((IFERROR((ROW(INDIRECT("'"&amp;$B38&amp;"'!$F$29:$F$45"))-ROW(INDIRECT("'"&amp;$B38&amp;"'!$F$29"))+1)/--(IF(INDIRECT("'"&amp;$B38&amp;"'!$F$29:$F$45")&lt;&gt;"",1,0)),0))-(IFERROR((ROW(INDIRECT("'"&amp;$B38&amp;"'!$F$29:$F$45"))-ROW(INDIRECT("'"&amp;$B38&amp;"'!$F$29"))+1)/--(FIND("VERIFICACIÓN: ", INDIRECT("'"&amp;$B38&amp;"'!$F$29:$F$45"))),0))),1),0)&gt;IF(MAX(IFERROR((_xlfn._xlws.FILTER((ROW(INDIRECT("'"&amp;$B38&amp;"'!$E$29:$E$45"))-ROW(INDIRECT("'"&amp;$B38&amp;"'!$E$29"))+1)/--(IF(INDIRECT("'"&amp;$B38&amp;"'!$E$29:$E$45")&lt;&gt;"",1,0)), NOT(ISNUMBER(MATCH((ROW(INDIRECT("'"&amp;$B38&amp;"'!$E$29:$E$45"))-ROW(INDIRECT("'"&amp;$B38&amp;"'!$E$29"))+1)/--(IF(INDIRECT("'"&amp;$B38&amp;"'!$E$29:$E$45")&lt;&gt;"",1,0)), (ROW(INDIRECT("'"&amp;$B38&amp;"'!$E$29:$E$45"))-ROW(INDIRECT("'"&amp;$B38&amp;"'!$E$29"))+1)/--(FIND("VERIFICACIÓN: ", INDIRECT("'"&amp;$B38&amp;"'!$E$29:$E$45"))), 0))))),0))&lt;&gt;0,INDEX(INDIRECT("'"&amp;$B38&amp;"'!$A$29:$G$45"),MAX((IFERROR((ROW(INDIRECT("'"&amp;$B38&amp;"'!$E$29:$E$45"))-ROW(INDIRECT("'"&amp;$B38&amp;"'!$E$29"))+1)/--(IF(INDIRECT("'"&amp;$B38&amp;"'!$E$29:$E$45")&lt;&gt;"",1,0)),0))-(IFERROR((ROW(INDIRECT("'"&amp;$B38&amp;"'!$E$29:$E$45"))-ROW(INDIRECT("'"&amp;$B38&amp;"'!$E$29"))+1)/--(FIND("VERIFICACIÓN: ", INDIRECT("'"&amp;$B38&amp;"'!$E$29:$E$45"))),0))),1),0),IF(MAX((IFERROR((ROW(INDIRECT("'"&amp;$B38&amp;"'!$F$29:$F$45"))-ROW(INDIRECT("'"&amp;$B38&amp;"'!$F$29"))+1)/--(IF(INDIRECT("'"&amp;$B38&amp;"'!$F$29:$F$45")&lt;&gt;"",1,0)),0))-(IFERROR((ROW(INDIRECT("'"&amp;$B38&amp;"'!$F$29:$F$45"))-ROW(INDIRECT("'"&amp;$B38&amp;"'!$F$29"))+1)/--(FIND("VERIFICACIÓN: ", INDIRECT("'"&amp;$B38&amp;"'!$F$29:$F$45"))),0)))&lt;&gt;0,INDEX(INDIRECT("'"&amp;$B38&amp;"'!$A$29:$G$45"),MAX((IFERROR((ROW(INDIRECT("'"&amp;$B38&amp;"'!$F$29:$F$45"))-ROW(INDIRECT("'"&amp;$B38&amp;"'!$F$29"))+1)/--(IF(INDIRECT("'"&amp;$B38&amp;"'!$F$29:$F$45")&lt;&gt;"",1,0)),0))-(IFERROR((ROW(INDIRECT("'"&amp;$B38&amp;"'!$F$29:$F$45"))-ROW(INDIRECT("'"&amp;$B38&amp;"'!$F$29"))+1)/--(FIND("VERIFICACIÓN: ", INDIRECT("'"&amp;$B38&amp;"'!$F$29:$F$45"))),0))),6),"NO DISPONIBLE"),IF(MAX(IFERROR((_xlfn._xlws.FILTER((ROW(INDIRECT("'"&amp;$B38&amp;"'!$E$29:$E$45"))-ROW(INDIRECT("'"&amp;$B38&amp;"'!$E$29"))+1)/--(IF(INDIRECT("'"&amp;$B38&amp;"'!$E$29:$E$45")&lt;&gt;"",1,0)), NOT(ISNUMBER(MATCH((ROW(INDIRECT("'"&amp;$B38&amp;"'!$E$29:$E$45"))-ROW(INDIRECT("'"&amp;$B38&amp;"'!$E$29"))+1)/--(IF(INDIRECT("'"&amp;$B38&amp;"'!$E$29:$E$45")&lt;&gt;"",1,0)), (ROW(INDIRECT("'"&amp;$B38&amp;"'!$E$29:$E$45"))-ROW(INDIRECT("'"&amp;$B38&amp;"'!$E$29"))+1)/--(FIND("VERIFICACIÓN: ", INDIRECT("'"&amp;$B38&amp;"'!$E$29:$E$45"))), 0))))),0))&lt;&gt;0,INDEX(INDIRECT("'"&amp;$B38&amp;"'!$A$29:$G$45"),MAX((IFERROR((ROW(INDIRECT("'"&amp;$B38&amp;"'!$E$29:$E$45"))-ROW(INDIRECT("'"&amp;$B38&amp;"'!$E$29"))+1)/--(IF(INDIRECT("'"&amp;$B38&amp;"'!$E$29:$E$45")&lt;&gt;"",1,0)),0))-(IFERROR((ROW(INDIRECT("'"&amp;$B38&amp;"'!$E$29:$E$45"))-ROW(INDIRECT("'"&amp;$B38&amp;"'!$E$29"))+1)/--(FIND("VERIFICACIÓN: ", INDIRECT("'"&amp;$B38&amp;"'!$E$29:$E$45"))),0))),5),"NO DISPONIBLE"))</f>
        <v>UN0217 / CONCRELAB</v>
      </c>
      <c r="U38" s="3" t="s">
        <v>69</v>
      </c>
      <c r="V38" s="5" cm="1">
        <f t="array" aca="1" ref="V38" ca="1">IF((IFERROR(VLOOKUP(IFERROR(LOOKUP(2,1/((INDIRECT("'"&amp;$B38&amp;"'!$F$29:$F$45"))&lt;&gt;""),(INDIRECT("'"&amp;$B38&amp;"'!$F$29:$F$45"))),"NO DISPONIBLE"),CHOOSE({1,2},(INDIRECT("'"&amp;$B38&amp;"'!$F$29:$F$45")),(INDIRECT("'"&amp;$B38&amp;"'!$A$29:$A$45"))),2,0),0))&gt;(IFERROR(VLOOKUP(IFERROR(LOOKUP(2,1/((INDIRECT("'"&amp;$B38&amp;"'!$E$29:$E$45"))&lt;&gt;""),(INDIRECT("'"&amp;$B38&amp;"'!$E$29:$E$45"))),"NO DISPONIBLE"),CHOOSE({1,2},(INDIRECT("'"&amp;$B38&amp;"'!$E$29:$E$45")),(INDIRECT("'"&amp;$B38&amp;"'!$A$29:$A$45"))),2,0),0)),(IFERROR(VLOOKUP(IFERROR(LOOKUP(2,1/((INDIRECT("'"&amp;$B38&amp;"'!$F$29:$F$45"))&lt;&gt;""),(INDIRECT("'"&amp;$B38&amp;"'!$F$29:$F$45"))),"NO DISPONIBLE"),CHOOSE({1,2},(INDIRECT("'"&amp;$B38&amp;"'!$F$29:$F$45")),(INDIRECT("'"&amp;$B38&amp;"'!$A$29:$A$45"))),2,0),0)),(IFERROR(VLOOKUP(IFERROR(LOOKUP(2,1/((INDIRECT("'"&amp;$B38&amp;"'!$E$29:$E$45"))&lt;&gt;""),(INDIRECT("'"&amp;$B38&amp;"'!$E$29:$E$45"))),"NO DISPONIBLE"),CHOOSE({1,2},(INDIRECT("'"&amp;$B38&amp;"'!$E$29:$E$45")),(INDIRECT("'"&amp;$B38&amp;"'!$A$29:$A$45"))),2,0),0)))</f>
        <v>45118</v>
      </c>
      <c r="W38" s="6" t="s">
        <v>70</v>
      </c>
      <c r="X38" s="7" t="str" cm="1">
        <f t="array" aca="1" ref="X38" ca="1">IF((IFERROR(VLOOKUP(IFERROR(LOOKUP(2,1/((INDIRECT("'"&amp;$B38&amp;"'!$E$29:$E$45"))&lt;&gt;""),(INDIRECT("'"&amp;$B38&amp;"'!$E$29:$E$45"))),"NO DISPONIBLE"),CHOOSE({1,2},(INDIRECT("'"&amp;$B38&amp;"'!$E$29:$E$45")),(INDIRECT("'"&amp;$B38&amp;"'!$A$29:$A$45"))),2,0),0))&gt;(IFERROR(VLOOKUP(IFERROR(LOOKUP(2,1/((INDIRECT("'"&amp;$B38&amp;"'!$F$29:$F$45"))&lt;&gt;""),(INDIRECT("'"&amp;$B38&amp;"'!$F$29:$F$45"))),"NO DISPONIBLE"),CHOOSE({1,2},(INDIRECT("'"&amp;$B38&amp;"'!$F$29:$F$45")),(INDIRECT("'"&amp;$B38&amp;"'!$A$29:$A$45"))),2,0),0)),IFERROR(LOOKUP(2,1/((INDIRECT("'"&amp;$B38&amp;"'!$E$29:$E$45"))&lt;&gt;""),(INDIRECT("'"&amp;$B38&amp;"'!$E$29:$E$45"))),"NO DISPONIBLE"),IFERROR(LOOKUP(2,1/((INDIRECT("'"&amp;$B38&amp;"'!$F$29:$F$45"))&lt;&gt;""),(INDIRECT("'"&amp;$B38&amp;"'!$F$29:$F$45"))),"NO DISPONIBLE"))</f>
        <v>UN0217 / CONCRELAB</v>
      </c>
      <c r="Y38" s="3">
        <v>36</v>
      </c>
      <c r="Z38" s="5" cm="1">
        <f t="array" aca="1" ref="Z38" ca="1">IF((IFERROR(VLOOKUP(IFERROR(LOOKUP(2,1/((INDIRECT("'"&amp;$B38&amp;"'!$D$29:$D$45"))&lt;&gt;""),(INDIRECT("'"&amp;$B38&amp;"'!$D$29:$D$45"))),"NO DISPONIBLE"),CHOOSE({1,2},(INDIRECT("'"&amp;$B38&amp;"'!$D$29:$D$45")),(INDIRECT("'"&amp;$B38&amp;"'!$A$29:$A$45"))),2,0),0))&gt;(IFERROR(VLOOKUP(IFERROR(LOOKUP(2,1/((INDIRECT("'"&amp;$B38&amp;"'!$C$29:$C$45"))&lt;&gt;""),(INDIRECT("'"&amp;$B38&amp;"'!$C$29:$C$45"))),"NO DISPONIBLE"),CHOOSE({1,2},(INDIRECT("'"&amp;$B38&amp;"'!$C$29:$C$45")),(INDIRECT("'"&amp;$B38&amp;"'!$A$29:$A$45"))),2,0),0)),(IFERROR(VLOOKUP(IFERROR(LOOKUP(2,1/((INDIRECT("'"&amp;$B38&amp;"'!$D$29:$D$45"))&lt;&gt;""),(INDIRECT("'"&amp;$B38&amp;"'!$D$29:$D$45"))),"NO DISPONIBLE"),CHOOSE({1,2},(INDIRECT("'"&amp;$B38&amp;"'!$D$29:$D$45")),(INDIRECT("'"&amp;$B38&amp;"'!$A$29:$A$45"))),2,0),0)),(IFERROR(VLOOKUP(IFERROR(LOOKUP(2,1/((INDIRECT("'"&amp;$B38&amp;"'!$C$29:$C$45"))&lt;&gt;""),(INDIRECT("'"&amp;$B38&amp;"'!$C$29:$C$45"))),"NO DISPONIBLE"),CHOOSE({1,2},(INDIRECT("'"&amp;$B38&amp;"'!$C$29:$C$45")),(INDIRECT("'"&amp;$B38&amp;"'!$A$29:$A$45"))),2,0),0)))</f>
        <v>45118</v>
      </c>
      <c r="AA38" s="6" t="s">
        <v>73</v>
      </c>
      <c r="AB38" s="7" t="str" cm="1">
        <f t="array" aca="1" ref="AB38" ca="1">IF((IFERROR(VLOOKUP(IFERROR(LOOKUP(2,1/((INDIRECT("'"&amp;$B38&amp;"'!$C$29:$C$45"))&lt;&gt;""),(INDIRECT("'"&amp;$B38&amp;"'!$C$29:$C$45"))),"NO DISPONIBLE"),CHOOSE({1,2},(INDIRECT("'"&amp;$B38&amp;"'!$C$29:$C$45")),(INDIRECT("'"&amp;$B38&amp;"'!$A$29:$A$45"))),2,0),0))&gt;(IFERROR(VLOOKUP(IFERROR(LOOKUP(2,1/((INDIRECT("'"&amp;$B38&amp;"'!$D$29:$D$45"))&lt;&gt;""),(INDIRECT("'"&amp;$B38&amp;"'!$D$29:$D$45"))),"NO DISPONIBLE"),CHOOSE({1,2},(INDIRECT("'"&amp;$B38&amp;"'!$D$29:$D$45")),(INDIRECT("'"&amp;$B38&amp;"'!$A$29:$A$45"))),2,0),0)),IFERROR(LOOKUP(2,1/((INDIRECT("'"&amp;$B38&amp;"'!$C$29:$C$45"))&lt;&gt;""),(INDIRECT("'"&amp;$B38&amp;"'!$C$29:$C$45"))),"NO DISPONIBLE"),IFERROR(LOOKUP(2,1/((INDIRECT("'"&amp;$B38&amp;"'!$D$29:$D$45"))&lt;&gt;""),(INDIRECT("'"&amp;$B38&amp;"'!$D$29:$D$45"))),"NO DISPONIBLE"))</f>
        <v>NUEVO</v>
      </c>
      <c r="AC38" s="6" t="s">
        <v>82</v>
      </c>
      <c r="AD38" s="8"/>
    </row>
  </sheetData>
  <conditionalFormatting sqref="W8:W12 W25 W27:W28 AC2:AC38">
    <cfRule type="cellIs" dxfId="28" priority="24" operator="equal">
      <formula>"Sin verificar"</formula>
    </cfRule>
    <cfRule type="cellIs" dxfId="27" priority="25" operator="equal">
      <formula>"Gestionar"</formula>
    </cfRule>
    <cfRule type="cellIs" dxfId="26" priority="26" operator="equal">
      <formula>"Verificado"</formula>
    </cfRule>
  </conditionalFormatting>
  <conditionalFormatting sqref="AA2:AA38">
    <cfRule type="cellIs" dxfId="25" priority="21" operator="equal">
      <formula>"Sin mantenimiento"</formula>
    </cfRule>
    <cfRule type="cellIs" dxfId="24" priority="22" operator="equal">
      <formula>"Gestionar"</formula>
    </cfRule>
    <cfRule type="cellIs" dxfId="23" priority="23" operator="equal">
      <formula>"Ejecutado"</formula>
    </cfRule>
  </conditionalFormatting>
  <conditionalFormatting sqref="S2:S38">
    <cfRule type="cellIs" dxfId="22" priority="20" operator="equal">
      <formula>"No Aplica"</formula>
    </cfRule>
    <cfRule type="cellIs" dxfId="21" priority="27" operator="equal">
      <formula>"Sin calibrar"</formula>
    </cfRule>
    <cfRule type="cellIs" dxfId="20" priority="28" operator="equal">
      <formula>"Gestionar"</formula>
    </cfRule>
    <cfRule type="cellIs" dxfId="19" priority="29" operator="equal">
      <formula>"Calibrado"</formula>
    </cfRule>
  </conditionalFormatting>
  <conditionalFormatting sqref="W2:W7">
    <cfRule type="cellIs" dxfId="18" priority="16" operator="equal">
      <formula>"No Aplica"</formula>
    </cfRule>
    <cfRule type="cellIs" dxfId="17" priority="17" operator="equal">
      <formula>"Sin calibrar"</formula>
    </cfRule>
    <cfRule type="cellIs" dxfId="16" priority="18" operator="equal">
      <formula>"Gestionar"</formula>
    </cfRule>
    <cfRule type="cellIs" dxfId="15" priority="19" operator="equal">
      <formula>"Calibrado"</formula>
    </cfRule>
  </conditionalFormatting>
  <conditionalFormatting sqref="W13:W18 W20:W24">
    <cfRule type="cellIs" dxfId="14" priority="12" operator="equal">
      <formula>"No Aplica"</formula>
    </cfRule>
    <cfRule type="cellIs" dxfId="13" priority="13" operator="equal">
      <formula>"Sin calibrar"</formula>
    </cfRule>
    <cfRule type="cellIs" dxfId="12" priority="14" operator="equal">
      <formula>"Gestionar"</formula>
    </cfRule>
    <cfRule type="cellIs" dxfId="11" priority="15" operator="equal">
      <formula>"Calibrado"</formula>
    </cfRule>
  </conditionalFormatting>
  <conditionalFormatting sqref="W26">
    <cfRule type="cellIs" dxfId="10" priority="8" operator="equal">
      <formula>"No Aplica"</formula>
    </cfRule>
    <cfRule type="cellIs" dxfId="9" priority="9" operator="equal">
      <formula>"Sin calibrar"</formula>
    </cfRule>
    <cfRule type="cellIs" dxfId="8" priority="10" operator="equal">
      <formula>"Gestionar"</formula>
    </cfRule>
    <cfRule type="cellIs" dxfId="7" priority="11" operator="equal">
      <formula>"Calibrado"</formula>
    </cfRule>
  </conditionalFormatting>
  <conditionalFormatting sqref="W29:W38">
    <cfRule type="cellIs" dxfId="6" priority="4" operator="equal">
      <formula>"No Aplica"</formula>
    </cfRule>
    <cfRule type="cellIs" dxfId="5" priority="5" operator="equal">
      <formula>"Sin calibrar"</formula>
    </cfRule>
    <cfRule type="cellIs" dxfId="4" priority="6" operator="equal">
      <formula>"Gestionar"</formula>
    </cfRule>
    <cfRule type="cellIs" dxfId="3" priority="7" operator="equal">
      <formula>"Calibrado"</formula>
    </cfRule>
  </conditionalFormatting>
  <conditionalFormatting sqref="W19">
    <cfRule type="cellIs" dxfId="2" priority="1" operator="equal">
      <formula>"Sin verificar"</formula>
    </cfRule>
    <cfRule type="cellIs" dxfId="1" priority="2" operator="equal">
      <formula>"Gestionar"</formula>
    </cfRule>
    <cfRule type="cellIs" dxfId="0" priority="3" operator="equal">
      <formula>"Verificado"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0F974-3FC8-4657-B70F-1AFBBC2790C9}">
  <sheetPr>
    <tabColor rgb="FFFFC000"/>
  </sheetPr>
  <dimension ref="A1:R39"/>
  <sheetViews>
    <sheetView workbookViewId="0">
      <selection activeCell="H3" sqref="H3"/>
    </sheetView>
  </sheetViews>
  <sheetFormatPr baseColWidth="10" defaultRowHeight="14.4" x14ac:dyDescent="0.3"/>
  <cols>
    <col min="1" max="7" width="11.5546875" style="1"/>
    <col min="8" max="8" width="11.5546875" style="34"/>
    <col min="9" max="10" width="11.5546875" style="41"/>
    <col min="11" max="18" width="11.5546875" style="34"/>
  </cols>
  <sheetData>
    <row r="1" spans="1:18" ht="39.6" x14ac:dyDescent="0.3">
      <c r="A1" s="15" t="s">
        <v>74</v>
      </c>
      <c r="B1" s="15" t="s">
        <v>75</v>
      </c>
      <c r="C1" s="15" t="s">
        <v>76</v>
      </c>
      <c r="D1" s="15" t="s">
        <v>77</v>
      </c>
      <c r="E1" s="15" t="s">
        <v>78</v>
      </c>
      <c r="F1" s="15" t="s">
        <v>5</v>
      </c>
      <c r="G1" s="15" t="s">
        <v>79</v>
      </c>
      <c r="H1" s="31" t="s">
        <v>80</v>
      </c>
      <c r="I1" s="15" t="s">
        <v>81</v>
      </c>
      <c r="J1" s="15" t="s">
        <v>8</v>
      </c>
      <c r="K1" s="32"/>
      <c r="L1" s="32"/>
      <c r="M1" s="33"/>
      <c r="O1" s="35" t="s">
        <v>87</v>
      </c>
      <c r="P1" s="35" t="s">
        <v>88</v>
      </c>
      <c r="Q1" s="35" t="s">
        <v>79</v>
      </c>
      <c r="R1" s="35" t="s">
        <v>89</v>
      </c>
    </row>
    <row r="2" spans="1:18" x14ac:dyDescent="0.3">
      <c r="A2" s="28">
        <v>1</v>
      </c>
      <c r="B2" s="28">
        <v>1</v>
      </c>
      <c r="C2" s="28">
        <v>3</v>
      </c>
      <c r="D2" s="28">
        <v>1</v>
      </c>
      <c r="E2" s="28">
        <v>1</v>
      </c>
      <c r="F2" s="29">
        <f>ROUND(A2*0.3+B2*0.35+C2*0.15+D2*0.1+E2*0.1,2)</f>
        <v>1.3</v>
      </c>
      <c r="G2" s="29" t="str">
        <f>LOOKUP(CRITICIDAD!F2,$O$2:$P$5,$Q$2:$Q$5)</f>
        <v>Muy bajo</v>
      </c>
      <c r="H2" s="36">
        <f>LOOKUP(CRITICIDAD!G2,$Q$2:$Q$5,$R$2:$R$5)</f>
        <v>6</v>
      </c>
      <c r="I2" s="40">
        <f>SUM(A2:E2)</f>
        <v>7</v>
      </c>
      <c r="J2" s="40">
        <f>IF(I2&lt;=6,24,(IF(I2&lt;=10,18,IF(I2&lt;=15,12,IF(I2&lt;=20,6,3)))))</f>
        <v>18</v>
      </c>
      <c r="M2" s="37"/>
      <c r="O2" s="38">
        <v>0</v>
      </c>
      <c r="P2" s="38">
        <v>1.79</v>
      </c>
      <c r="Q2" s="39" t="s">
        <v>90</v>
      </c>
      <c r="R2" s="39">
        <v>24</v>
      </c>
    </row>
    <row r="3" spans="1:18" x14ac:dyDescent="0.3">
      <c r="A3" s="28">
        <v>2</v>
      </c>
      <c r="B3" s="28">
        <v>2</v>
      </c>
      <c r="C3" s="28">
        <v>2</v>
      </c>
      <c r="D3" s="28">
        <v>1</v>
      </c>
      <c r="E3" s="28">
        <v>1</v>
      </c>
      <c r="F3" s="29">
        <f>ROUND(A3*0.3+B3*0.35+C3*0.15+D3*0.1+E3*0.1,2)</f>
        <v>1.8</v>
      </c>
      <c r="G3" s="29" t="str">
        <f>LOOKUP(CRITICIDAD!F3,$O$2:$P$5,$Q$2:$Q$5)</f>
        <v>Bajo</v>
      </c>
      <c r="H3" s="36">
        <f>LOOKUP(CRITICIDAD!G3,$Q$2:$Q$5,$R$2:$R$5)</f>
        <v>18</v>
      </c>
      <c r="I3" s="40">
        <f>SUM(A3:E3)</f>
        <v>8</v>
      </c>
      <c r="J3" s="40">
        <f>IF(I3&lt;=6,24,(IF(I3&lt;=10,18,IF(I3&lt;=15,12,IF(I3&lt;=20,6,3)))))</f>
        <v>18</v>
      </c>
      <c r="M3" s="37"/>
      <c r="O3" s="38">
        <v>1.8</v>
      </c>
      <c r="P3" s="38">
        <v>2.59</v>
      </c>
      <c r="Q3" s="39" t="s">
        <v>91</v>
      </c>
      <c r="R3" s="39">
        <v>18</v>
      </c>
    </row>
    <row r="4" spans="1:18" x14ac:dyDescent="0.3">
      <c r="A4" s="28">
        <v>5</v>
      </c>
      <c r="B4" s="28">
        <v>5</v>
      </c>
      <c r="C4" s="28">
        <v>5</v>
      </c>
      <c r="D4" s="28">
        <v>1</v>
      </c>
      <c r="E4" s="28">
        <v>1</v>
      </c>
      <c r="F4" s="30">
        <f>ROUND(A4*0.3+B4*0.35+C4*0.15+D4*0.1+E4*0.1,2)</f>
        <v>4.2</v>
      </c>
      <c r="G4" s="29" t="str">
        <f>LOOKUP(CRITICIDAD!F4,$O$2:$P$5,$Q$2:$Q$5)</f>
        <v>Alto</v>
      </c>
      <c r="H4" s="36" t="e">
        <f>LOOKUP(CRITICIDAD!G4,$Q$2:$Q$5,$R$2:$R$5)</f>
        <v>#N/A</v>
      </c>
      <c r="I4" s="40">
        <f>SUM(A4:E4)</f>
        <v>17</v>
      </c>
      <c r="J4" s="40">
        <f>IF(I4&lt;=6,24,(IF(I4&lt;=10,18,IF(I4&lt;=15,12,IF(I4&lt;=20,6,3)))))</f>
        <v>6</v>
      </c>
      <c r="M4" s="37"/>
      <c r="O4" s="38">
        <v>2.6</v>
      </c>
      <c r="P4" s="38">
        <v>3.49</v>
      </c>
      <c r="Q4" s="39" t="s">
        <v>92</v>
      </c>
      <c r="R4" s="39">
        <v>12</v>
      </c>
    </row>
    <row r="5" spans="1:18" x14ac:dyDescent="0.3">
      <c r="A5" s="28">
        <v>3</v>
      </c>
      <c r="B5" s="28">
        <v>5</v>
      </c>
      <c r="C5" s="28">
        <v>3</v>
      </c>
      <c r="D5" s="28">
        <v>1</v>
      </c>
      <c r="E5" s="28">
        <v>1</v>
      </c>
      <c r="F5" s="29">
        <f t="shared" ref="F5:F38" si="0">ROUND(A5*0.3+B5*0.35+C5*0.15+D5*0.1+E5*0.1,2)</f>
        <v>3.3</v>
      </c>
      <c r="G5" s="29" t="str">
        <f>LOOKUP(CRITICIDAD!F5,$O$2:$P$5,$Q$2:$Q$5)</f>
        <v>Medio</v>
      </c>
      <c r="H5" s="36">
        <f>LOOKUP(CRITICIDAD!G5,$Q$2:$Q$5,$R$2:$R$5)</f>
        <v>12</v>
      </c>
      <c r="I5" s="40">
        <f t="shared" ref="I5:I38" si="1">SUM(A5:E5)</f>
        <v>13</v>
      </c>
      <c r="J5" s="40">
        <f t="shared" ref="J5:J38" si="2">IF(I5&lt;=6,24,(IF(I5&lt;=10,18,IF(I5&lt;=15,12,IF(I5&lt;=20,6,3)))))</f>
        <v>12</v>
      </c>
      <c r="M5" s="37"/>
      <c r="O5" s="38">
        <v>3.5</v>
      </c>
      <c r="P5" s="38">
        <v>5</v>
      </c>
      <c r="Q5" s="39" t="s">
        <v>93</v>
      </c>
      <c r="R5" s="39">
        <v>6</v>
      </c>
    </row>
    <row r="6" spans="1:18" x14ac:dyDescent="0.3">
      <c r="A6" s="28">
        <v>2</v>
      </c>
      <c r="B6" s="28">
        <v>2</v>
      </c>
      <c r="C6" s="28">
        <v>2</v>
      </c>
      <c r="D6" s="28">
        <v>1</v>
      </c>
      <c r="E6" s="28">
        <v>1</v>
      </c>
      <c r="F6" s="29">
        <f t="shared" si="0"/>
        <v>1.8</v>
      </c>
      <c r="G6" s="29" t="str">
        <f>LOOKUP(CRITICIDAD!F6,$O$2:$P$5,$Q$2:$Q$5)</f>
        <v>Bajo</v>
      </c>
      <c r="H6" s="36">
        <f>LOOKUP(CRITICIDAD!G6,$Q$2:$Q$5,$R$2:$R$5)</f>
        <v>18</v>
      </c>
      <c r="I6" s="40">
        <f t="shared" si="1"/>
        <v>8</v>
      </c>
      <c r="J6" s="40">
        <f t="shared" si="2"/>
        <v>18</v>
      </c>
      <c r="M6" s="37"/>
    </row>
    <row r="7" spans="1:18" x14ac:dyDescent="0.3">
      <c r="A7" s="28">
        <v>5</v>
      </c>
      <c r="B7" s="28">
        <v>5</v>
      </c>
      <c r="C7" s="28">
        <v>5</v>
      </c>
      <c r="D7" s="28">
        <v>1</v>
      </c>
      <c r="E7" s="28">
        <v>1</v>
      </c>
      <c r="F7" s="30">
        <f t="shared" si="0"/>
        <v>4.2</v>
      </c>
      <c r="G7" s="29" t="str">
        <f>LOOKUP(CRITICIDAD!F7,$O$2:$P$5,$Q$2:$Q$5)</f>
        <v>Alto</v>
      </c>
      <c r="H7" s="36" t="e">
        <f>LOOKUP(CRITICIDAD!G7,$Q$2:$Q$5,$R$2:$R$5)</f>
        <v>#N/A</v>
      </c>
      <c r="I7" s="40">
        <f t="shared" si="1"/>
        <v>17</v>
      </c>
      <c r="J7" s="40">
        <f t="shared" si="2"/>
        <v>6</v>
      </c>
    </row>
    <row r="8" spans="1:18" x14ac:dyDescent="0.3">
      <c r="A8" s="28">
        <v>3</v>
      </c>
      <c r="B8" s="28">
        <v>5</v>
      </c>
      <c r="C8" s="28">
        <v>3</v>
      </c>
      <c r="D8" s="28">
        <v>1</v>
      </c>
      <c r="E8" s="28">
        <v>1</v>
      </c>
      <c r="F8" s="29">
        <f t="shared" si="0"/>
        <v>3.3</v>
      </c>
      <c r="G8" s="29" t="str">
        <f>LOOKUP(CRITICIDAD!F8,$O$2:$P$5,$Q$2:$Q$5)</f>
        <v>Medio</v>
      </c>
      <c r="H8" s="36">
        <f>LOOKUP(CRITICIDAD!G8,$Q$2:$Q$5,$R$2:$R$5)</f>
        <v>12</v>
      </c>
      <c r="I8" s="40">
        <f t="shared" si="1"/>
        <v>13</v>
      </c>
      <c r="J8" s="40">
        <f t="shared" si="2"/>
        <v>12</v>
      </c>
    </row>
    <row r="9" spans="1:18" x14ac:dyDescent="0.3">
      <c r="A9" s="28">
        <v>2</v>
      </c>
      <c r="B9" s="28">
        <v>2</v>
      </c>
      <c r="C9" s="28">
        <v>2</v>
      </c>
      <c r="D9" s="28">
        <v>1</v>
      </c>
      <c r="E9" s="28">
        <v>1</v>
      </c>
      <c r="F9" s="29">
        <f t="shared" si="0"/>
        <v>1.8</v>
      </c>
      <c r="G9" s="29" t="str">
        <f>LOOKUP(CRITICIDAD!F9,$O$2:$P$5,$Q$2:$Q$5)</f>
        <v>Bajo</v>
      </c>
      <c r="H9" s="36">
        <f>LOOKUP(CRITICIDAD!G9,$Q$2:$Q$5,$R$2:$R$5)</f>
        <v>18</v>
      </c>
      <c r="I9" s="40">
        <f t="shared" si="1"/>
        <v>8</v>
      </c>
      <c r="J9" s="40">
        <f t="shared" si="2"/>
        <v>18</v>
      </c>
    </row>
    <row r="10" spans="1:18" x14ac:dyDescent="0.3">
      <c r="A10" s="28">
        <v>5</v>
      </c>
      <c r="B10" s="28">
        <v>5</v>
      </c>
      <c r="C10" s="28">
        <v>5</v>
      </c>
      <c r="D10" s="28">
        <v>1</v>
      </c>
      <c r="E10" s="28">
        <v>1</v>
      </c>
      <c r="F10" s="30">
        <f t="shared" si="0"/>
        <v>4.2</v>
      </c>
      <c r="G10" s="29" t="str">
        <f>LOOKUP(CRITICIDAD!F10,$O$2:$P$5,$Q$2:$Q$5)</f>
        <v>Alto</v>
      </c>
      <c r="H10" s="36" t="e">
        <f>LOOKUP(CRITICIDAD!G10,$Q$2:$Q$5,$R$2:$R$5)</f>
        <v>#N/A</v>
      </c>
      <c r="I10" s="40">
        <f t="shared" si="1"/>
        <v>17</v>
      </c>
      <c r="J10" s="40">
        <f t="shared" si="2"/>
        <v>6</v>
      </c>
    </row>
    <row r="11" spans="1:18" x14ac:dyDescent="0.3">
      <c r="A11" s="28">
        <v>3</v>
      </c>
      <c r="B11" s="28">
        <v>5</v>
      </c>
      <c r="C11" s="28">
        <v>3</v>
      </c>
      <c r="D11" s="28">
        <v>1</v>
      </c>
      <c r="E11" s="28">
        <v>1</v>
      </c>
      <c r="F11" s="29">
        <f t="shared" si="0"/>
        <v>3.3</v>
      </c>
      <c r="G11" s="29" t="str">
        <f>LOOKUP(CRITICIDAD!F11,$O$2:$P$5,$Q$2:$Q$5)</f>
        <v>Medio</v>
      </c>
      <c r="H11" s="36">
        <f>LOOKUP(CRITICIDAD!G11,$Q$2:$Q$5,$R$2:$R$5)</f>
        <v>12</v>
      </c>
      <c r="I11" s="40">
        <f t="shared" si="1"/>
        <v>13</v>
      </c>
      <c r="J11" s="40">
        <f t="shared" si="2"/>
        <v>12</v>
      </c>
    </row>
    <row r="12" spans="1:18" x14ac:dyDescent="0.3">
      <c r="A12" s="28">
        <v>2</v>
      </c>
      <c r="B12" s="28">
        <v>2</v>
      </c>
      <c r="C12" s="28">
        <v>2</v>
      </c>
      <c r="D12" s="28">
        <v>1</v>
      </c>
      <c r="E12" s="28">
        <v>1</v>
      </c>
      <c r="F12" s="29">
        <f t="shared" si="0"/>
        <v>1.8</v>
      </c>
      <c r="G12" s="29" t="str">
        <f>LOOKUP(CRITICIDAD!F12,$O$2:$P$5,$Q$2:$Q$5)</f>
        <v>Bajo</v>
      </c>
      <c r="H12" s="36">
        <f>LOOKUP(CRITICIDAD!G12,$Q$2:$Q$5,$R$2:$R$5)</f>
        <v>18</v>
      </c>
      <c r="I12" s="40">
        <f t="shared" si="1"/>
        <v>8</v>
      </c>
      <c r="J12" s="40">
        <f t="shared" si="2"/>
        <v>18</v>
      </c>
    </row>
    <row r="13" spans="1:18" x14ac:dyDescent="0.3">
      <c r="A13" s="28">
        <v>5</v>
      </c>
      <c r="B13" s="28">
        <v>5</v>
      </c>
      <c r="C13" s="28">
        <v>5</v>
      </c>
      <c r="D13" s="28">
        <v>1</v>
      </c>
      <c r="E13" s="28">
        <v>1</v>
      </c>
      <c r="F13" s="30">
        <f t="shared" si="0"/>
        <v>4.2</v>
      </c>
      <c r="G13" s="29" t="str">
        <f>LOOKUP(CRITICIDAD!F13,$O$2:$P$5,$Q$2:$Q$5)</f>
        <v>Alto</v>
      </c>
      <c r="H13" s="36" t="e">
        <f>LOOKUP(CRITICIDAD!G13,$Q$2:$Q$5,$R$2:$R$5)</f>
        <v>#N/A</v>
      </c>
      <c r="I13" s="40">
        <f t="shared" si="1"/>
        <v>17</v>
      </c>
      <c r="J13" s="40">
        <f t="shared" si="2"/>
        <v>6</v>
      </c>
    </row>
    <row r="14" spans="1:18" x14ac:dyDescent="0.3">
      <c r="A14" s="28">
        <v>3</v>
      </c>
      <c r="B14" s="28">
        <v>5</v>
      </c>
      <c r="C14" s="28">
        <v>3</v>
      </c>
      <c r="D14" s="28">
        <v>1</v>
      </c>
      <c r="E14" s="28">
        <v>1</v>
      </c>
      <c r="F14" s="29">
        <f t="shared" si="0"/>
        <v>3.3</v>
      </c>
      <c r="G14" s="29" t="str">
        <f>LOOKUP(CRITICIDAD!F14,$O$2:$P$5,$Q$2:$Q$5)</f>
        <v>Medio</v>
      </c>
      <c r="H14" s="36">
        <f>LOOKUP(CRITICIDAD!G14,$Q$2:$Q$5,$R$2:$R$5)</f>
        <v>12</v>
      </c>
      <c r="I14" s="40">
        <f t="shared" si="1"/>
        <v>13</v>
      </c>
      <c r="J14" s="40">
        <f t="shared" si="2"/>
        <v>12</v>
      </c>
    </row>
    <row r="15" spans="1:18" x14ac:dyDescent="0.3">
      <c r="A15" s="28">
        <v>2</v>
      </c>
      <c r="B15" s="28">
        <v>2</v>
      </c>
      <c r="C15" s="28">
        <v>2</v>
      </c>
      <c r="D15" s="28">
        <v>1</v>
      </c>
      <c r="E15" s="28">
        <v>1</v>
      </c>
      <c r="F15" s="29">
        <f t="shared" si="0"/>
        <v>1.8</v>
      </c>
      <c r="G15" s="29" t="str">
        <f>LOOKUP(CRITICIDAD!F15,$O$2:$P$5,$Q$2:$Q$5)</f>
        <v>Bajo</v>
      </c>
      <c r="H15" s="36">
        <f>LOOKUP(CRITICIDAD!G15,$Q$2:$Q$5,$R$2:$R$5)</f>
        <v>18</v>
      </c>
      <c r="I15" s="40">
        <f t="shared" si="1"/>
        <v>8</v>
      </c>
      <c r="J15" s="40">
        <f t="shared" si="2"/>
        <v>18</v>
      </c>
    </row>
    <row r="16" spans="1:18" x14ac:dyDescent="0.3">
      <c r="A16" s="28">
        <v>5</v>
      </c>
      <c r="B16" s="28">
        <v>5</v>
      </c>
      <c r="C16" s="28">
        <v>5</v>
      </c>
      <c r="D16" s="28">
        <v>1</v>
      </c>
      <c r="E16" s="28">
        <v>1</v>
      </c>
      <c r="F16" s="30">
        <f t="shared" si="0"/>
        <v>4.2</v>
      </c>
      <c r="G16" s="29" t="str">
        <f>LOOKUP(CRITICIDAD!F16,$O$2:$P$5,$Q$2:$Q$5)</f>
        <v>Alto</v>
      </c>
      <c r="H16" s="36" t="e">
        <f>LOOKUP(CRITICIDAD!G16,$Q$2:$Q$5,$R$2:$R$5)</f>
        <v>#N/A</v>
      </c>
      <c r="I16" s="40">
        <f t="shared" si="1"/>
        <v>17</v>
      </c>
      <c r="J16" s="40">
        <f t="shared" si="2"/>
        <v>6</v>
      </c>
    </row>
    <row r="17" spans="1:10" x14ac:dyDescent="0.3">
      <c r="A17" s="28">
        <v>3</v>
      </c>
      <c r="B17" s="28">
        <v>5</v>
      </c>
      <c r="C17" s="28">
        <v>3</v>
      </c>
      <c r="D17" s="28">
        <v>1</v>
      </c>
      <c r="E17" s="28">
        <v>1</v>
      </c>
      <c r="F17" s="29">
        <f t="shared" si="0"/>
        <v>3.3</v>
      </c>
      <c r="G17" s="29" t="str">
        <f>LOOKUP(CRITICIDAD!F17,$O$2:$P$5,$Q$2:$Q$5)</f>
        <v>Medio</v>
      </c>
      <c r="H17" s="36">
        <f>LOOKUP(CRITICIDAD!G17,$Q$2:$Q$5,$R$2:$R$5)</f>
        <v>12</v>
      </c>
      <c r="I17" s="40">
        <f t="shared" si="1"/>
        <v>13</v>
      </c>
      <c r="J17" s="40">
        <f t="shared" si="2"/>
        <v>12</v>
      </c>
    </row>
    <row r="18" spans="1:10" x14ac:dyDescent="0.3">
      <c r="A18" s="28">
        <v>2</v>
      </c>
      <c r="B18" s="28">
        <v>2</v>
      </c>
      <c r="C18" s="28">
        <v>2</v>
      </c>
      <c r="D18" s="28">
        <v>1</v>
      </c>
      <c r="E18" s="28">
        <v>1</v>
      </c>
      <c r="F18" s="29">
        <f t="shared" si="0"/>
        <v>1.8</v>
      </c>
      <c r="G18" s="29" t="str">
        <f>LOOKUP(CRITICIDAD!F18,$O$2:$P$5,$Q$2:$Q$5)</f>
        <v>Bajo</v>
      </c>
      <c r="H18" s="36">
        <f>LOOKUP(CRITICIDAD!G18,$Q$2:$Q$5,$R$2:$R$5)</f>
        <v>18</v>
      </c>
      <c r="I18" s="40">
        <f t="shared" si="1"/>
        <v>8</v>
      </c>
      <c r="J18" s="40">
        <f t="shared" si="2"/>
        <v>18</v>
      </c>
    </row>
    <row r="19" spans="1:10" x14ac:dyDescent="0.3">
      <c r="A19" s="28">
        <v>5</v>
      </c>
      <c r="B19" s="28">
        <v>5</v>
      </c>
      <c r="C19" s="28">
        <v>5</v>
      </c>
      <c r="D19" s="28">
        <v>1</v>
      </c>
      <c r="E19" s="28">
        <v>1</v>
      </c>
      <c r="F19" s="30">
        <f t="shared" si="0"/>
        <v>4.2</v>
      </c>
      <c r="G19" s="29" t="str">
        <f>LOOKUP(CRITICIDAD!F19,$O$2:$P$5,$Q$2:$Q$5)</f>
        <v>Alto</v>
      </c>
      <c r="H19" s="36" t="e">
        <f>LOOKUP(CRITICIDAD!G19,$Q$2:$Q$5,$R$2:$R$5)</f>
        <v>#N/A</v>
      </c>
      <c r="I19" s="40">
        <f t="shared" si="1"/>
        <v>17</v>
      </c>
      <c r="J19" s="40">
        <f t="shared" si="2"/>
        <v>6</v>
      </c>
    </row>
    <row r="20" spans="1:10" x14ac:dyDescent="0.3">
      <c r="A20" s="28">
        <v>3</v>
      </c>
      <c r="B20" s="28">
        <v>5</v>
      </c>
      <c r="C20" s="28">
        <v>3</v>
      </c>
      <c r="D20" s="28">
        <v>1</v>
      </c>
      <c r="E20" s="28">
        <v>1</v>
      </c>
      <c r="F20" s="29">
        <f t="shared" si="0"/>
        <v>3.3</v>
      </c>
      <c r="G20" s="29" t="str">
        <f>LOOKUP(CRITICIDAD!F20,$O$2:$P$5,$Q$2:$Q$5)</f>
        <v>Medio</v>
      </c>
      <c r="H20" s="36">
        <f>LOOKUP(CRITICIDAD!G20,$Q$2:$Q$5,$R$2:$R$5)</f>
        <v>12</v>
      </c>
      <c r="I20" s="40">
        <f t="shared" si="1"/>
        <v>13</v>
      </c>
      <c r="J20" s="40">
        <f t="shared" si="2"/>
        <v>12</v>
      </c>
    </row>
    <row r="21" spans="1:10" x14ac:dyDescent="0.3">
      <c r="A21" s="28">
        <v>2</v>
      </c>
      <c r="B21" s="28">
        <v>2</v>
      </c>
      <c r="C21" s="28">
        <v>2</v>
      </c>
      <c r="D21" s="28">
        <v>1</v>
      </c>
      <c r="E21" s="28">
        <v>1</v>
      </c>
      <c r="F21" s="29">
        <f t="shared" si="0"/>
        <v>1.8</v>
      </c>
      <c r="G21" s="29" t="str">
        <f>LOOKUP(CRITICIDAD!F21,$O$2:$P$5,$Q$2:$Q$5)</f>
        <v>Bajo</v>
      </c>
      <c r="H21" s="36">
        <f>LOOKUP(CRITICIDAD!G21,$Q$2:$Q$5,$R$2:$R$5)</f>
        <v>18</v>
      </c>
      <c r="I21" s="40">
        <f t="shared" si="1"/>
        <v>8</v>
      </c>
      <c r="J21" s="40">
        <f t="shared" si="2"/>
        <v>18</v>
      </c>
    </row>
    <row r="22" spans="1:10" x14ac:dyDescent="0.3">
      <c r="A22" s="28">
        <v>5</v>
      </c>
      <c r="B22" s="28">
        <v>5</v>
      </c>
      <c r="C22" s="28">
        <v>5</v>
      </c>
      <c r="D22" s="28">
        <v>1</v>
      </c>
      <c r="E22" s="28">
        <v>1</v>
      </c>
      <c r="F22" s="30">
        <f t="shared" si="0"/>
        <v>4.2</v>
      </c>
      <c r="G22" s="29" t="str">
        <f>LOOKUP(CRITICIDAD!F22,$O$2:$P$5,$Q$2:$Q$5)</f>
        <v>Alto</v>
      </c>
      <c r="H22" s="36" t="e">
        <f>LOOKUP(CRITICIDAD!G22,$Q$2:$Q$5,$R$2:$R$5)</f>
        <v>#N/A</v>
      </c>
      <c r="I22" s="40">
        <f t="shared" si="1"/>
        <v>17</v>
      </c>
      <c r="J22" s="40">
        <f t="shared" si="2"/>
        <v>6</v>
      </c>
    </row>
    <row r="23" spans="1:10" x14ac:dyDescent="0.3">
      <c r="A23" s="28">
        <v>3</v>
      </c>
      <c r="B23" s="28">
        <v>5</v>
      </c>
      <c r="C23" s="28">
        <v>3</v>
      </c>
      <c r="D23" s="28">
        <v>1</v>
      </c>
      <c r="E23" s="28">
        <v>1</v>
      </c>
      <c r="F23" s="29">
        <f t="shared" si="0"/>
        <v>3.3</v>
      </c>
      <c r="G23" s="29" t="str">
        <f>LOOKUP(CRITICIDAD!F23,$O$2:$P$5,$Q$2:$Q$5)</f>
        <v>Medio</v>
      </c>
      <c r="H23" s="36">
        <f>LOOKUP(CRITICIDAD!G23,$Q$2:$Q$5,$R$2:$R$5)</f>
        <v>12</v>
      </c>
      <c r="I23" s="40">
        <f t="shared" si="1"/>
        <v>13</v>
      </c>
      <c r="J23" s="40">
        <f t="shared" si="2"/>
        <v>12</v>
      </c>
    </row>
    <row r="24" spans="1:10" x14ac:dyDescent="0.3">
      <c r="A24" s="28">
        <v>2</v>
      </c>
      <c r="B24" s="28">
        <v>2</v>
      </c>
      <c r="C24" s="28">
        <v>2</v>
      </c>
      <c r="D24" s="28">
        <v>1</v>
      </c>
      <c r="E24" s="28">
        <v>1</v>
      </c>
      <c r="F24" s="29">
        <f t="shared" si="0"/>
        <v>1.8</v>
      </c>
      <c r="G24" s="29" t="str">
        <f>LOOKUP(CRITICIDAD!F24,$O$2:$P$5,$Q$2:$Q$5)</f>
        <v>Bajo</v>
      </c>
      <c r="H24" s="36">
        <f>LOOKUP(CRITICIDAD!G24,$Q$2:$Q$5,$R$2:$R$5)</f>
        <v>18</v>
      </c>
      <c r="I24" s="40">
        <f t="shared" si="1"/>
        <v>8</v>
      </c>
      <c r="J24" s="40">
        <f t="shared" si="2"/>
        <v>18</v>
      </c>
    </row>
    <row r="25" spans="1:10" x14ac:dyDescent="0.3">
      <c r="A25" s="28">
        <v>5</v>
      </c>
      <c r="B25" s="28">
        <v>5</v>
      </c>
      <c r="C25" s="28">
        <v>5</v>
      </c>
      <c r="D25" s="28">
        <v>1</v>
      </c>
      <c r="E25" s="28">
        <v>1</v>
      </c>
      <c r="F25" s="30">
        <f t="shared" si="0"/>
        <v>4.2</v>
      </c>
      <c r="G25" s="29" t="str">
        <f>LOOKUP(CRITICIDAD!F25,$O$2:$P$5,$Q$2:$Q$5)</f>
        <v>Alto</v>
      </c>
      <c r="H25" s="36" t="e">
        <f>LOOKUP(CRITICIDAD!G25,$Q$2:$Q$5,$R$2:$R$5)</f>
        <v>#N/A</v>
      </c>
      <c r="I25" s="40">
        <f t="shared" si="1"/>
        <v>17</v>
      </c>
      <c r="J25" s="40">
        <f t="shared" si="2"/>
        <v>6</v>
      </c>
    </row>
    <row r="26" spans="1:10" x14ac:dyDescent="0.3">
      <c r="A26" s="28">
        <v>3</v>
      </c>
      <c r="B26" s="28">
        <v>5</v>
      </c>
      <c r="C26" s="28">
        <v>3</v>
      </c>
      <c r="D26" s="28">
        <v>1</v>
      </c>
      <c r="E26" s="28">
        <v>1</v>
      </c>
      <c r="F26" s="29">
        <f t="shared" si="0"/>
        <v>3.3</v>
      </c>
      <c r="G26" s="29" t="str">
        <f>LOOKUP(CRITICIDAD!F26,$O$2:$P$5,$Q$2:$Q$5)</f>
        <v>Medio</v>
      </c>
      <c r="H26" s="36">
        <f>LOOKUP(CRITICIDAD!G26,$Q$2:$Q$5,$R$2:$R$5)</f>
        <v>12</v>
      </c>
      <c r="I26" s="40">
        <f t="shared" si="1"/>
        <v>13</v>
      </c>
      <c r="J26" s="40">
        <f t="shared" si="2"/>
        <v>12</v>
      </c>
    </row>
    <row r="27" spans="1:10" x14ac:dyDescent="0.3">
      <c r="A27" s="28">
        <v>2</v>
      </c>
      <c r="B27" s="28">
        <v>2</v>
      </c>
      <c r="C27" s="28">
        <v>2</v>
      </c>
      <c r="D27" s="28">
        <v>1</v>
      </c>
      <c r="E27" s="28">
        <v>1</v>
      </c>
      <c r="F27" s="29">
        <f t="shared" si="0"/>
        <v>1.8</v>
      </c>
      <c r="G27" s="29" t="str">
        <f>LOOKUP(CRITICIDAD!F27,$O$2:$P$5,$Q$2:$Q$5)</f>
        <v>Bajo</v>
      </c>
      <c r="H27" s="36">
        <f>LOOKUP(CRITICIDAD!G27,$Q$2:$Q$5,$R$2:$R$5)</f>
        <v>18</v>
      </c>
      <c r="I27" s="40">
        <f t="shared" si="1"/>
        <v>8</v>
      </c>
      <c r="J27" s="40">
        <f t="shared" si="2"/>
        <v>18</v>
      </c>
    </row>
    <row r="28" spans="1:10" x14ac:dyDescent="0.3">
      <c r="A28" s="28">
        <v>5</v>
      </c>
      <c r="B28" s="28">
        <v>5</v>
      </c>
      <c r="C28" s="28">
        <v>5</v>
      </c>
      <c r="D28" s="28">
        <v>1</v>
      </c>
      <c r="E28" s="28">
        <v>1</v>
      </c>
      <c r="F28" s="29">
        <f t="shared" si="0"/>
        <v>4.2</v>
      </c>
      <c r="G28" s="29" t="str">
        <f>LOOKUP(CRITICIDAD!F28,$O$2:$P$5,$Q$2:$Q$5)</f>
        <v>Alto</v>
      </c>
      <c r="H28" s="36" t="e">
        <f>LOOKUP(CRITICIDAD!G28,$Q$2:$Q$5,$R$2:$R$5)</f>
        <v>#N/A</v>
      </c>
      <c r="I28" s="40">
        <f t="shared" si="1"/>
        <v>17</v>
      </c>
      <c r="J28" s="40">
        <f t="shared" si="2"/>
        <v>6</v>
      </c>
    </row>
    <row r="29" spans="1:10" x14ac:dyDescent="0.3">
      <c r="A29" s="28">
        <v>3</v>
      </c>
      <c r="B29" s="28">
        <v>5</v>
      </c>
      <c r="C29" s="28">
        <v>3</v>
      </c>
      <c r="D29" s="28">
        <v>1</v>
      </c>
      <c r="E29" s="28">
        <v>1</v>
      </c>
      <c r="F29" s="29">
        <f t="shared" si="0"/>
        <v>3.3</v>
      </c>
      <c r="G29" s="29" t="str">
        <f>LOOKUP(CRITICIDAD!F29,$O$2:$P$5,$Q$2:$Q$5)</f>
        <v>Medio</v>
      </c>
      <c r="H29" s="36">
        <f>LOOKUP(CRITICIDAD!G29,$Q$2:$Q$5,$R$2:$R$5)</f>
        <v>12</v>
      </c>
      <c r="I29" s="40">
        <f t="shared" si="1"/>
        <v>13</v>
      </c>
      <c r="J29" s="40">
        <f t="shared" si="2"/>
        <v>12</v>
      </c>
    </row>
    <row r="30" spans="1:10" x14ac:dyDescent="0.3">
      <c r="A30" s="28">
        <v>2</v>
      </c>
      <c r="B30" s="28">
        <v>2</v>
      </c>
      <c r="C30" s="28">
        <v>2</v>
      </c>
      <c r="D30" s="28">
        <v>1</v>
      </c>
      <c r="E30" s="28">
        <v>1</v>
      </c>
      <c r="F30" s="29">
        <f t="shared" si="0"/>
        <v>1.8</v>
      </c>
      <c r="G30" s="29" t="str">
        <f>LOOKUP(CRITICIDAD!F30,$O$2:$P$5,$Q$2:$Q$5)</f>
        <v>Bajo</v>
      </c>
      <c r="H30" s="36">
        <f>LOOKUP(CRITICIDAD!G30,$Q$2:$Q$5,$R$2:$R$5)</f>
        <v>18</v>
      </c>
      <c r="I30" s="40">
        <f t="shared" si="1"/>
        <v>8</v>
      </c>
      <c r="J30" s="40">
        <f t="shared" si="2"/>
        <v>18</v>
      </c>
    </row>
    <row r="31" spans="1:10" x14ac:dyDescent="0.3">
      <c r="A31" s="28">
        <v>5</v>
      </c>
      <c r="B31" s="28">
        <v>5</v>
      </c>
      <c r="C31" s="28">
        <v>5</v>
      </c>
      <c r="D31" s="28">
        <v>1</v>
      </c>
      <c r="E31" s="28">
        <v>1</v>
      </c>
      <c r="F31" s="29">
        <f t="shared" si="0"/>
        <v>4.2</v>
      </c>
      <c r="G31" s="29" t="str">
        <f>LOOKUP(CRITICIDAD!F31,$O$2:$P$5,$Q$2:$Q$5)</f>
        <v>Alto</v>
      </c>
      <c r="H31" s="36" t="e">
        <f>LOOKUP(CRITICIDAD!G31,$Q$2:$Q$5,$R$2:$R$5)</f>
        <v>#N/A</v>
      </c>
      <c r="I31" s="40">
        <f t="shared" si="1"/>
        <v>17</v>
      </c>
      <c r="J31" s="40">
        <f t="shared" si="2"/>
        <v>6</v>
      </c>
    </row>
    <row r="32" spans="1:10" x14ac:dyDescent="0.3">
      <c r="A32" s="28">
        <v>3</v>
      </c>
      <c r="B32" s="28">
        <v>5</v>
      </c>
      <c r="C32" s="28">
        <v>3</v>
      </c>
      <c r="D32" s="28">
        <v>1</v>
      </c>
      <c r="E32" s="28">
        <v>1</v>
      </c>
      <c r="F32" s="29">
        <f t="shared" si="0"/>
        <v>3.3</v>
      </c>
      <c r="G32" s="29" t="str">
        <f>LOOKUP(CRITICIDAD!F32,$O$2:$P$5,$Q$2:$Q$5)</f>
        <v>Medio</v>
      </c>
      <c r="H32" s="36">
        <f>LOOKUP(CRITICIDAD!G32,$Q$2:$Q$5,$R$2:$R$5)</f>
        <v>12</v>
      </c>
      <c r="I32" s="40">
        <f t="shared" si="1"/>
        <v>13</v>
      </c>
      <c r="J32" s="40">
        <f t="shared" si="2"/>
        <v>12</v>
      </c>
    </row>
    <row r="33" spans="1:10" x14ac:dyDescent="0.3">
      <c r="A33" s="28">
        <v>2</v>
      </c>
      <c r="B33" s="28">
        <v>2</v>
      </c>
      <c r="C33" s="28">
        <v>2</v>
      </c>
      <c r="D33" s="28">
        <v>1</v>
      </c>
      <c r="E33" s="28">
        <v>1</v>
      </c>
      <c r="F33" s="29">
        <f t="shared" si="0"/>
        <v>1.8</v>
      </c>
      <c r="G33" s="29" t="str">
        <f>LOOKUP(CRITICIDAD!F33,$O$2:$P$5,$Q$2:$Q$5)</f>
        <v>Bajo</v>
      </c>
      <c r="H33" s="36">
        <f>LOOKUP(CRITICIDAD!G33,$Q$2:$Q$5,$R$2:$R$5)</f>
        <v>18</v>
      </c>
      <c r="I33" s="40">
        <f t="shared" si="1"/>
        <v>8</v>
      </c>
      <c r="J33" s="40">
        <f t="shared" si="2"/>
        <v>18</v>
      </c>
    </row>
    <row r="34" spans="1:10" x14ac:dyDescent="0.3">
      <c r="A34" s="28">
        <v>5</v>
      </c>
      <c r="B34" s="28">
        <v>5</v>
      </c>
      <c r="C34" s="28">
        <v>5</v>
      </c>
      <c r="D34" s="28">
        <v>1</v>
      </c>
      <c r="E34" s="28">
        <v>1</v>
      </c>
      <c r="F34" s="29">
        <f t="shared" si="0"/>
        <v>4.2</v>
      </c>
      <c r="G34" s="29" t="str">
        <f>LOOKUP(CRITICIDAD!F34,$O$2:$P$5,$Q$2:$Q$5)</f>
        <v>Alto</v>
      </c>
      <c r="H34" s="36" t="e">
        <f>LOOKUP(CRITICIDAD!G34,$Q$2:$Q$5,$R$2:$R$5)</f>
        <v>#N/A</v>
      </c>
      <c r="I34" s="40">
        <f t="shared" si="1"/>
        <v>17</v>
      </c>
      <c r="J34" s="40">
        <f t="shared" si="2"/>
        <v>6</v>
      </c>
    </row>
    <row r="35" spans="1:10" x14ac:dyDescent="0.3">
      <c r="A35" s="28">
        <v>3</v>
      </c>
      <c r="B35" s="28">
        <v>5</v>
      </c>
      <c r="C35" s="28">
        <v>3</v>
      </c>
      <c r="D35" s="28">
        <v>1</v>
      </c>
      <c r="E35" s="28">
        <v>1</v>
      </c>
      <c r="F35" s="29">
        <f t="shared" si="0"/>
        <v>3.3</v>
      </c>
      <c r="G35" s="29" t="str">
        <f>LOOKUP(CRITICIDAD!F35,$O$2:$P$5,$Q$2:$Q$5)</f>
        <v>Medio</v>
      </c>
      <c r="H35" s="36">
        <f>LOOKUP(CRITICIDAD!G35,$Q$2:$Q$5,$R$2:$R$5)</f>
        <v>12</v>
      </c>
      <c r="I35" s="40">
        <f t="shared" si="1"/>
        <v>13</v>
      </c>
      <c r="J35" s="40">
        <f t="shared" si="2"/>
        <v>12</v>
      </c>
    </row>
    <row r="36" spans="1:10" x14ac:dyDescent="0.3">
      <c r="A36" s="28">
        <v>2</v>
      </c>
      <c r="B36" s="28">
        <v>2</v>
      </c>
      <c r="C36" s="28">
        <v>2</v>
      </c>
      <c r="D36" s="28">
        <v>1</v>
      </c>
      <c r="E36" s="28">
        <v>1</v>
      </c>
      <c r="F36" s="29">
        <f t="shared" si="0"/>
        <v>1.8</v>
      </c>
      <c r="G36" s="29" t="str">
        <f>LOOKUP(CRITICIDAD!F36,$O$2:$P$5,$Q$2:$Q$5)</f>
        <v>Bajo</v>
      </c>
      <c r="H36" s="36">
        <f>LOOKUP(CRITICIDAD!G36,$Q$2:$Q$5,$R$2:$R$5)</f>
        <v>18</v>
      </c>
      <c r="I36" s="40">
        <f t="shared" si="1"/>
        <v>8</v>
      </c>
      <c r="J36" s="40">
        <f t="shared" si="2"/>
        <v>18</v>
      </c>
    </row>
    <row r="37" spans="1:10" x14ac:dyDescent="0.3">
      <c r="A37" s="28">
        <v>5</v>
      </c>
      <c r="B37" s="28">
        <v>5</v>
      </c>
      <c r="C37" s="28">
        <v>5</v>
      </c>
      <c r="D37" s="28">
        <v>1</v>
      </c>
      <c r="E37" s="28">
        <v>1</v>
      </c>
      <c r="F37" s="29">
        <f t="shared" si="0"/>
        <v>4.2</v>
      </c>
      <c r="G37" s="29" t="str">
        <f>LOOKUP(CRITICIDAD!F37,$O$2:$P$5,$Q$2:$Q$5)</f>
        <v>Alto</v>
      </c>
      <c r="H37" s="36" t="e">
        <f>LOOKUP(CRITICIDAD!G37,$Q$2:$Q$5,$R$2:$R$5)</f>
        <v>#N/A</v>
      </c>
      <c r="I37" s="40">
        <f t="shared" si="1"/>
        <v>17</v>
      </c>
      <c r="J37" s="40">
        <f t="shared" si="2"/>
        <v>6</v>
      </c>
    </row>
    <row r="38" spans="1:10" x14ac:dyDescent="0.3">
      <c r="A38" s="28">
        <v>3</v>
      </c>
      <c r="B38" s="28">
        <v>5</v>
      </c>
      <c r="C38" s="28">
        <v>3</v>
      </c>
      <c r="D38" s="28">
        <v>1</v>
      </c>
      <c r="E38" s="28">
        <v>1</v>
      </c>
      <c r="F38" s="29">
        <f t="shared" si="0"/>
        <v>3.3</v>
      </c>
      <c r="G38" s="29" t="str">
        <f>LOOKUP(CRITICIDAD!F38,$O$2:$P$5,$Q$2:$Q$5)</f>
        <v>Medio</v>
      </c>
      <c r="H38" s="36">
        <f>LOOKUP(CRITICIDAD!G38,$Q$2:$Q$5,$R$2:$R$5)</f>
        <v>12</v>
      </c>
      <c r="I38" s="40">
        <f t="shared" si="1"/>
        <v>13</v>
      </c>
      <c r="J38" s="40">
        <f t="shared" si="2"/>
        <v>12</v>
      </c>
    </row>
    <row r="39" spans="1:10" x14ac:dyDescent="0.3">
      <c r="A39" s="28"/>
      <c r="B39" s="28"/>
      <c r="C39" s="28"/>
      <c r="D39" s="28"/>
      <c r="E39" s="2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CRITICIDAD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Marleny Jaramillo</dc:creator>
  <cp:lastModifiedBy>Marleny Jaramillo</cp:lastModifiedBy>
  <dcterms:created xsi:type="dcterms:W3CDTF">2026-04-20T16:06:35Z</dcterms:created>
  <dcterms:modified xsi:type="dcterms:W3CDTF">2026-04-20T17:26:53Z</dcterms:modified>
</cp:coreProperties>
</file>